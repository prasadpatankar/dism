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prasa\Downloads\"/>
    </mc:Choice>
  </mc:AlternateContent>
  <xr:revisionPtr revIDLastSave="0" documentId="13_ncr:1_{F2BBDF3B-96FF-4469-9494-1F5D7910AE4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0" i="1" l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</calcChain>
</file>

<file path=xl/sharedStrings.xml><?xml version="1.0" encoding="utf-8"?>
<sst xmlns="http://schemas.openxmlformats.org/spreadsheetml/2006/main" count="2527" uniqueCount="833">
  <si>
    <t>Sr. No.</t>
  </si>
  <si>
    <t>Company name</t>
  </si>
  <si>
    <t>ISIN</t>
  </si>
  <si>
    <t>Reliance Industries Ltd</t>
  </si>
  <si>
    <t>INE002A01018</t>
  </si>
  <si>
    <t>RELIANCE</t>
  </si>
  <si>
    <t>-</t>
  </si>
  <si>
    <t>Large Cap</t>
  </si>
  <si>
    <t>HDFC Bank Ltd.</t>
  </si>
  <si>
    <t>INE040A01034</t>
  </si>
  <si>
    <t>HDFCBANK</t>
  </si>
  <si>
    <t>Bharti Airtel  Ltd.</t>
  </si>
  <si>
    <t>INE397D01024</t>
  </si>
  <si>
    <t>BHARTIARTL</t>
  </si>
  <si>
    <t>Tata Consultancy Services Ltd.</t>
  </si>
  <si>
    <t>INE467B01029</t>
  </si>
  <si>
    <t>TCS</t>
  </si>
  <si>
    <t>ICICI Bank Ltd.</t>
  </si>
  <si>
    <t>INE090A01021</t>
  </si>
  <si>
    <t>ICICIBANK</t>
  </si>
  <si>
    <t>State Bank Of India</t>
  </si>
  <si>
    <t>INE062A01020</t>
  </si>
  <si>
    <t>SBIN</t>
  </si>
  <si>
    <t>Infosys Ltd</t>
  </si>
  <si>
    <t>INE009A01021</t>
  </si>
  <si>
    <t>INFY</t>
  </si>
  <si>
    <t>Bajaj Finance Limited</t>
  </si>
  <si>
    <t>INE296A01032</t>
  </si>
  <si>
    <t>BAJFINANCE</t>
  </si>
  <si>
    <t>Life Insurance Corporation of India</t>
  </si>
  <si>
    <t>INE0J1Y01017</t>
  </si>
  <si>
    <t>LICI</t>
  </si>
  <si>
    <t>Hindustan Unilever Ltd.</t>
  </si>
  <si>
    <t>INE030A01027</t>
  </si>
  <si>
    <t>HINDUNILVR</t>
  </si>
  <si>
    <t>Larsen &amp; Toubro Limited</t>
  </si>
  <si>
    <t>INE018A01030</t>
  </si>
  <si>
    <t>LT</t>
  </si>
  <si>
    <t>ITC Ltd</t>
  </si>
  <si>
    <t>INE154A01025</t>
  </si>
  <si>
    <t>ITC</t>
  </si>
  <si>
    <t>Maruti Suzuki India  Ltd.</t>
  </si>
  <si>
    <t>INE585B01010</t>
  </si>
  <si>
    <t>MARUTI</t>
  </si>
  <si>
    <t>Mahindra &amp; Mahindra Ltd.</t>
  </si>
  <si>
    <t>INE101A01026</t>
  </si>
  <si>
    <t>M&amp;M</t>
  </si>
  <si>
    <t>HCL Technologies Ltd</t>
  </si>
  <si>
    <t>INE860A01027</t>
  </si>
  <si>
    <t>HCLTECH</t>
  </si>
  <si>
    <t>Kotak Mahindra Bank Ltd.</t>
  </si>
  <si>
    <t>INE237A01028</t>
  </si>
  <si>
    <t>KOTAKBANK</t>
  </si>
  <si>
    <t>Sun Pharmaceutical Industries Ltd.</t>
  </si>
  <si>
    <t>INE044A01036</t>
  </si>
  <si>
    <t>SUNPHARMA</t>
  </si>
  <si>
    <t>AXIS Bank Ltd.</t>
  </si>
  <si>
    <t>INE238A01034</t>
  </si>
  <si>
    <t>AXISBANK</t>
  </si>
  <si>
    <t>UltraTech Cement Ltd</t>
  </si>
  <si>
    <t>INE481G01011</t>
  </si>
  <si>
    <t>ULTRACEMCO</t>
  </si>
  <si>
    <t>Bajaj Finserv Limited</t>
  </si>
  <si>
    <t>INE918I01026</t>
  </si>
  <si>
    <t>BAJAJFINSV</t>
  </si>
  <si>
    <t>Titan Company Limited</t>
  </si>
  <si>
    <t>INE280A01028</t>
  </si>
  <si>
    <t>TITAN</t>
  </si>
  <si>
    <t>NTPC Limited</t>
  </si>
  <si>
    <t>INE733E01010</t>
  </si>
  <si>
    <t>NTPC</t>
  </si>
  <si>
    <t>Hindustan Aeronautics Limited</t>
  </si>
  <si>
    <t>INE066F01020</t>
  </si>
  <si>
    <t>HAL</t>
  </si>
  <si>
    <t>Adani Ports and Special Economic Zone Ltd</t>
  </si>
  <si>
    <t>INE742F01042</t>
  </si>
  <si>
    <t>ADANIPORTS</t>
  </si>
  <si>
    <t>Oil And Natural Gas Corporation Ltd</t>
  </si>
  <si>
    <t>INE213A01029</t>
  </si>
  <si>
    <t>ONGC</t>
  </si>
  <si>
    <t>Eternal Limited</t>
  </si>
  <si>
    <t>INE758T01015</t>
  </si>
  <si>
    <t>ETERNAL</t>
  </si>
  <si>
    <t>Bharat Electronics Ltd.</t>
  </si>
  <si>
    <t>INE263A01024</t>
  </si>
  <si>
    <t>BEL</t>
  </si>
  <si>
    <t>Adani Enterprises Ltd.</t>
  </si>
  <si>
    <t>INE423A01024</t>
  </si>
  <si>
    <t>ADANIENT</t>
  </si>
  <si>
    <t>Avenue Supermarts Limited</t>
  </si>
  <si>
    <t>INE192R01011</t>
  </si>
  <si>
    <t>DMART</t>
  </si>
  <si>
    <t>JSW Steel Limited</t>
  </si>
  <si>
    <t>INE019A01038</t>
  </si>
  <si>
    <t>JSWSTEEL</t>
  </si>
  <si>
    <t>Adani Power Limited</t>
  </si>
  <si>
    <t>INE814H01029</t>
  </si>
  <si>
    <t>ADANIPOWER</t>
  </si>
  <si>
    <t>Wipro  Ltd.</t>
  </si>
  <si>
    <t>INE075A01022</t>
  </si>
  <si>
    <t>WIPRO</t>
  </si>
  <si>
    <t>POWER GRID CORPORATION OF INDIA LIMITED</t>
  </si>
  <si>
    <t>INE752E01010</t>
  </si>
  <si>
    <t>POWERGRID</t>
  </si>
  <si>
    <t>Asian Paints Ltd.</t>
  </si>
  <si>
    <t>INE021A01026</t>
  </si>
  <si>
    <t>ASIANPAINT</t>
  </si>
  <si>
    <t>Bajaj Auto Limited</t>
  </si>
  <si>
    <t>INE917I01010</t>
  </si>
  <si>
    <t>BAJAJ-AUTO</t>
  </si>
  <si>
    <t>Coal India Limited</t>
  </si>
  <si>
    <t>INE522F01014</t>
  </si>
  <si>
    <t>COALINDIA</t>
  </si>
  <si>
    <t>Nestle India Ltd.</t>
  </si>
  <si>
    <t>INE239A01024</t>
  </si>
  <si>
    <t>NESTLEIND</t>
  </si>
  <si>
    <t>InterGlobe Aviation Limited</t>
  </si>
  <si>
    <t>INE646L01027</t>
  </si>
  <si>
    <t>INDIGO</t>
  </si>
  <si>
    <t>Indian Oil Corporation Ltd.</t>
  </si>
  <si>
    <t>INE242A01010</t>
  </si>
  <si>
    <t>IOC</t>
  </si>
  <si>
    <t>TATA STEEL LIMITED</t>
  </si>
  <si>
    <t>INE081A01020</t>
  </si>
  <si>
    <t>TATASTEEL</t>
  </si>
  <si>
    <t>Hindustan Zinc Ltd.</t>
  </si>
  <si>
    <t>INE267A01025</t>
  </si>
  <si>
    <t>HINDZINC</t>
  </si>
  <si>
    <t>Jio Financial Services Limited</t>
  </si>
  <si>
    <t>INE758E01017</t>
  </si>
  <si>
    <t>JIOFIN</t>
  </si>
  <si>
    <t>HYUNDAI MOTOR INDIA LIMITED</t>
  </si>
  <si>
    <t>INE0V6F01027</t>
  </si>
  <si>
    <t>HYUNDAI</t>
  </si>
  <si>
    <t>Grasim Industries Ltd</t>
  </si>
  <si>
    <t>INE047A01021</t>
  </si>
  <si>
    <t>GRASIM</t>
  </si>
  <si>
    <t>SBI Life Insurance Company Limited</t>
  </si>
  <si>
    <t>INE123W01016</t>
  </si>
  <si>
    <t>SBILIFE</t>
  </si>
  <si>
    <t>Vedanta Limited</t>
  </si>
  <si>
    <t>INE205A01025</t>
  </si>
  <si>
    <t>VEDL</t>
  </si>
  <si>
    <t>DLF LIMITED</t>
  </si>
  <si>
    <t>INE271C01023</t>
  </si>
  <si>
    <t>DLF</t>
  </si>
  <si>
    <t>Eicher Motors Ltd.</t>
  </si>
  <si>
    <t>INE066A01021</t>
  </si>
  <si>
    <t>EICHERMOT</t>
  </si>
  <si>
    <t>Trent Ltd [Lakme Ltd]</t>
  </si>
  <si>
    <t>INE849A01020</t>
  </si>
  <si>
    <t>TRENT</t>
  </si>
  <si>
    <t>Hindalco Industries Ltd.</t>
  </si>
  <si>
    <t>INE038A01020</t>
  </si>
  <si>
    <t>HINDALCO</t>
  </si>
  <si>
    <t>Divi's Laboratories Ltd.</t>
  </si>
  <si>
    <t>INE361B01024</t>
  </si>
  <si>
    <t>DIVISLAB</t>
  </si>
  <si>
    <t>HDFC LIFE INSURANCE COMPANY LIMITED</t>
  </si>
  <si>
    <t>INE795G01014</t>
  </si>
  <si>
    <t>HDFCLIFE</t>
  </si>
  <si>
    <t>LTIMindtree Limited</t>
  </si>
  <si>
    <t>INE214T01019</t>
  </si>
  <si>
    <t>LTIM</t>
  </si>
  <si>
    <t>Indian Railway Finance Corporation</t>
  </si>
  <si>
    <t>INE053F01010</t>
  </si>
  <si>
    <t>IRFC</t>
  </si>
  <si>
    <t>Adani Green Energy Limited</t>
  </si>
  <si>
    <t>INE364U01010</t>
  </si>
  <si>
    <t>ADANIGREEN</t>
  </si>
  <si>
    <t>Varun Beverages Limited</t>
  </si>
  <si>
    <t>INE200M01039</t>
  </si>
  <si>
    <t>VBL</t>
  </si>
  <si>
    <t>TVS Motor Company Ltd.</t>
  </si>
  <si>
    <t>INE494B01023</t>
  </si>
  <si>
    <t>TVSMOTOR</t>
  </si>
  <si>
    <t>Pidilite Industries Ltd.</t>
  </si>
  <si>
    <t>INE318A01026</t>
  </si>
  <si>
    <t>PIDILITIND</t>
  </si>
  <si>
    <t>Bharat Petroleum Corpn. Ltd.</t>
  </si>
  <si>
    <t>INE029A01011</t>
  </si>
  <si>
    <t>BPCL</t>
  </si>
  <si>
    <t>Tech Mahindra Limited</t>
  </si>
  <si>
    <t>INE669C01036</t>
  </si>
  <si>
    <t>TECHM</t>
  </si>
  <si>
    <t>Bajaj Holdings &amp; Investment Limited</t>
  </si>
  <si>
    <t>INE118A01012</t>
  </si>
  <si>
    <t>BAJAJHLDNG</t>
  </si>
  <si>
    <t>Britannia Industries Ltd.</t>
  </si>
  <si>
    <t>INE216A01030</t>
  </si>
  <si>
    <t>BRITANNIA</t>
  </si>
  <si>
    <t>Ambuja Cements Ltd.</t>
  </si>
  <si>
    <t>INE079A01024</t>
  </si>
  <si>
    <t>AMBUJACEM</t>
  </si>
  <si>
    <t>Tata Capital Limited</t>
  </si>
  <si>
    <t>INE976I01016</t>
  </si>
  <si>
    <t>TATACAP</t>
  </si>
  <si>
    <t>TATA MOTORS PASSENGER VEHICLES LIMITED</t>
  </si>
  <si>
    <t>INE155A01022</t>
  </si>
  <si>
    <t>TMPV</t>
  </si>
  <si>
    <t>Bank Of Baroda</t>
  </si>
  <si>
    <t>INE028A01039</t>
  </si>
  <si>
    <t>BANKBARODA</t>
  </si>
  <si>
    <t>Cholamandalam Investment and Finance Company Ltd</t>
  </si>
  <si>
    <t>INE121A01024</t>
  </si>
  <si>
    <t>CHOLAFIN</t>
  </si>
  <si>
    <t>Shriram Finance Limited</t>
  </si>
  <si>
    <t>INE721A01047</t>
  </si>
  <si>
    <t>SHRIRAMFIN</t>
  </si>
  <si>
    <t>Tata Motors Limited</t>
  </si>
  <si>
    <t>INE1TAE01010</t>
  </si>
  <si>
    <t>TMCV</t>
  </si>
  <si>
    <t>Punjab National Bank</t>
  </si>
  <si>
    <t>INE160A01022</t>
  </si>
  <si>
    <t>PNB</t>
  </si>
  <si>
    <t>ICICI Prudential Asset Management Company Limited</t>
  </si>
  <si>
    <t>INE346A01027</t>
  </si>
  <si>
    <t>ICICIAMC</t>
  </si>
  <si>
    <t>Power Finance Corporation Ltd</t>
  </si>
  <si>
    <t>INE134E01011</t>
  </si>
  <si>
    <t>PFC</t>
  </si>
  <si>
    <t>Solar Industries India Limited</t>
  </si>
  <si>
    <t>INE343H01029</t>
  </si>
  <si>
    <t>SOLARINDS</t>
  </si>
  <si>
    <t>MUTHOOT FINANCE LIMITED</t>
  </si>
  <si>
    <t>INE414G01012</t>
  </si>
  <si>
    <t>MUTHOOTFIN</t>
  </si>
  <si>
    <t>Tata Power Co. Ltd</t>
  </si>
  <si>
    <t>INE245A01021</t>
  </si>
  <si>
    <t>TATAPOWER</t>
  </si>
  <si>
    <t>Cipla Ltd.</t>
  </si>
  <si>
    <t>INE059A01026</t>
  </si>
  <si>
    <t>CIPLA</t>
  </si>
  <si>
    <t>Torrent Pharmaceuticals Ltd.</t>
  </si>
  <si>
    <t>INE685A01028</t>
  </si>
  <si>
    <t>TORNTPHARM</t>
  </si>
  <si>
    <t>Godrej Consumer Products Ltd.</t>
  </si>
  <si>
    <t>INE102D01028</t>
  </si>
  <si>
    <t>GODREJCP</t>
  </si>
  <si>
    <t>Lodha Developers Limited</t>
  </si>
  <si>
    <t>INE670K01029</t>
  </si>
  <si>
    <t>LODHA</t>
  </si>
  <si>
    <t>HDFC Asset Management Company Limited</t>
  </si>
  <si>
    <t>INE127D01025</t>
  </si>
  <si>
    <t>HDFCAMC</t>
  </si>
  <si>
    <t>Gail (India) Ltd.</t>
  </si>
  <si>
    <t>INE129A01019</t>
  </si>
  <si>
    <t>GAIL</t>
  </si>
  <si>
    <t>Canara Bank</t>
  </si>
  <si>
    <t>INE476A01022</t>
  </si>
  <si>
    <t>CANBK</t>
  </si>
  <si>
    <t>Max Healthcare Institute Limited</t>
  </si>
  <si>
    <t>INE027H01010</t>
  </si>
  <si>
    <t>MAXHEALTH</t>
  </si>
  <si>
    <t>Siemens Energy India Limited</t>
  </si>
  <si>
    <t>INE1NPP01017</t>
  </si>
  <si>
    <t>ENRIN</t>
  </si>
  <si>
    <t>Siemens Ltd.</t>
  </si>
  <si>
    <t>INE003A01024</t>
  </si>
  <si>
    <t>SIEMENS</t>
  </si>
  <si>
    <t>Mazagon Dock Shipbuilders Limited</t>
  </si>
  <si>
    <t>INE249Z01020</t>
  </si>
  <si>
    <t>MAZDOCK</t>
  </si>
  <si>
    <t>Bosch Ltd</t>
  </si>
  <si>
    <t>INE323A01026</t>
  </si>
  <si>
    <t>BOSCHLTD</t>
  </si>
  <si>
    <t>ABB India Limited</t>
  </si>
  <si>
    <t>INE117A01022</t>
  </si>
  <si>
    <t>ABB</t>
  </si>
  <si>
    <t>Samvardhana Motherson International Limited</t>
  </si>
  <si>
    <t>INE775A01035</t>
  </si>
  <si>
    <t>MOTHERSON</t>
  </si>
  <si>
    <t>Cummins India Ltd.</t>
  </si>
  <si>
    <t>INE298A01020</t>
  </si>
  <si>
    <t>CUMMINSIND</t>
  </si>
  <si>
    <t>TATA CONSUMER PRODUCTS LIMITED</t>
  </si>
  <si>
    <t>INE192A01025</t>
  </si>
  <si>
    <t>TATACONSUM</t>
  </si>
  <si>
    <t>CG Power and Industrial Solutions Limited</t>
  </si>
  <si>
    <t>INE067A01029</t>
  </si>
  <si>
    <t>CGPOWER</t>
  </si>
  <si>
    <t>LG Electronics India Limited</t>
  </si>
  <si>
    <t>INE324D01010</t>
  </si>
  <si>
    <t>LGEINDIA</t>
  </si>
  <si>
    <t>Polycab India Limited</t>
  </si>
  <si>
    <t>INE455K01017</t>
  </si>
  <si>
    <t>POLYCAB</t>
  </si>
  <si>
    <t>Union Bank of India</t>
  </si>
  <si>
    <t>INE692A01016</t>
  </si>
  <si>
    <t>UNIONBANK</t>
  </si>
  <si>
    <t>Adani Energy Solutions Limited</t>
  </si>
  <si>
    <t>INE931S01010</t>
  </si>
  <si>
    <t>ADANIENSOL</t>
  </si>
  <si>
    <t>Apollo Hospitals Enterprises Ltd.</t>
  </si>
  <si>
    <t>INE437A01024</t>
  </si>
  <si>
    <t>APOLLOHOSP</t>
  </si>
  <si>
    <t>Indian Hotels Co. Ltd</t>
  </si>
  <si>
    <t>INE053A01029</t>
  </si>
  <si>
    <t>INDHOTEL</t>
  </si>
  <si>
    <t>Hero MotoCorp Limited</t>
  </si>
  <si>
    <t>INE158A01026</t>
  </si>
  <si>
    <t>HEROMOTOCO</t>
  </si>
  <si>
    <t>Dr. Reddy's Laboratories Ltd.</t>
  </si>
  <si>
    <t>INE089A01031</t>
  </si>
  <si>
    <t>DRREDDY</t>
  </si>
  <si>
    <t>Shree Cements Ltd.</t>
  </si>
  <si>
    <t>INE070A01015</t>
  </si>
  <si>
    <t>SHREECEM</t>
  </si>
  <si>
    <t>Mid Cap</t>
  </si>
  <si>
    <t>JINDAL STEEL LIMITED</t>
  </si>
  <si>
    <t>INE749A01030</t>
  </si>
  <si>
    <t>JINDALSTEL</t>
  </si>
  <si>
    <t>IDBI Bank Ltd</t>
  </si>
  <si>
    <t>INE008A01015</t>
  </si>
  <si>
    <t>IDBI</t>
  </si>
  <si>
    <t>SWIGGY LIMITED</t>
  </si>
  <si>
    <t>INE00H001014</t>
  </si>
  <si>
    <t xml:space="preserve">SWIGGY </t>
  </si>
  <si>
    <t>SWIGGY</t>
  </si>
  <si>
    <t>BSE Ltd.</t>
  </si>
  <si>
    <t>INE118H01025</t>
  </si>
  <si>
    <t>BSE</t>
  </si>
  <si>
    <t>Mankind Pharma Limited</t>
  </si>
  <si>
    <t>INE634S01028</t>
  </si>
  <si>
    <t>MANKIND</t>
  </si>
  <si>
    <t>Indian Bank</t>
  </si>
  <si>
    <t>INE562A01011</t>
  </si>
  <si>
    <t>INDIANB</t>
  </si>
  <si>
    <t>INDUS TOWERS LIMITED</t>
  </si>
  <si>
    <t>INE121J01017</t>
  </si>
  <si>
    <t>INDUSTOWER</t>
  </si>
  <si>
    <t>United Spirits Limited</t>
  </si>
  <si>
    <t>INE854D01024</t>
  </si>
  <si>
    <t>UNITDSPR</t>
  </si>
  <si>
    <t>GMR Airports Limited</t>
  </si>
  <si>
    <t>INE776C01039</t>
  </si>
  <si>
    <t>GMRAIRPORT</t>
  </si>
  <si>
    <t>REC LIMITED</t>
  </si>
  <si>
    <t>INE020B01018</t>
  </si>
  <si>
    <t>RECLTD</t>
  </si>
  <si>
    <t>Zydus Lifesciences Limited</t>
  </si>
  <si>
    <t>INE010B01027</t>
  </si>
  <si>
    <t>ZYDUSLIFE</t>
  </si>
  <si>
    <t xml:space="preserve">ICICI Lombard General Insurance Company Limited </t>
  </si>
  <si>
    <t>INE765G01017</t>
  </si>
  <si>
    <t>ICICIGI</t>
  </si>
  <si>
    <t>Billionbrains Garage Ventures Limited</t>
  </si>
  <si>
    <t>INE0HOQ01053</t>
  </si>
  <si>
    <t>GROWW</t>
  </si>
  <si>
    <t>Dixon Technologies (India) Limited</t>
  </si>
  <si>
    <t>INE935N01020</t>
  </si>
  <si>
    <t>DIXON</t>
  </si>
  <si>
    <t>VODAFONE IDEA LIMITED</t>
  </si>
  <si>
    <t>INE669E01016</t>
  </si>
  <si>
    <t>IDEA</t>
  </si>
  <si>
    <t>Havells India Limited</t>
  </si>
  <si>
    <t>INE176B01034</t>
  </si>
  <si>
    <t>HAVELLS</t>
  </si>
  <si>
    <t>Marico Limited</t>
  </si>
  <si>
    <t>INE196A01026</t>
  </si>
  <si>
    <t>MARICO</t>
  </si>
  <si>
    <t>Hindustan Petroleum Corporation Ltd</t>
  </si>
  <si>
    <t>INE094A01015</t>
  </si>
  <si>
    <t>HINDPETRO</t>
  </si>
  <si>
    <t>Waaree Energies Limited</t>
  </si>
  <si>
    <t>INE377N01017</t>
  </si>
  <si>
    <t>WAAREEENER</t>
  </si>
  <si>
    <t>Bajaj Housing Finance Limited</t>
  </si>
  <si>
    <t>INE377Y01014</t>
  </si>
  <si>
    <t>BAJAJHFL</t>
  </si>
  <si>
    <t>Dabur India Ltd.</t>
  </si>
  <si>
    <t>INE016A01026</t>
  </si>
  <si>
    <t>DABUR</t>
  </si>
  <si>
    <t>Lupin Ltd</t>
  </si>
  <si>
    <t>INE326A01037</t>
  </si>
  <si>
    <t>LUPIN</t>
  </si>
  <si>
    <t>JSW Energy Limited</t>
  </si>
  <si>
    <t>INE121E01018</t>
  </si>
  <si>
    <t>JSWENERGY</t>
  </si>
  <si>
    <t>ICICI Prudential Life Insurance Company Limited</t>
  </si>
  <si>
    <t>INE726G01019</t>
  </si>
  <si>
    <t>ICICIPRULI</t>
  </si>
  <si>
    <t>Persistent Systems Limited</t>
  </si>
  <si>
    <t>INE262H01021</t>
  </si>
  <si>
    <t>PERSISTENT</t>
  </si>
  <si>
    <t>Bharti Hexacom Limited</t>
  </si>
  <si>
    <t>INE343G01021</t>
  </si>
  <si>
    <t>BHARTIHEXA</t>
  </si>
  <si>
    <t>Info Edge(India) Ltd.</t>
  </si>
  <si>
    <t>INE663F01032</t>
  </si>
  <si>
    <t>NAUKRI</t>
  </si>
  <si>
    <t>SRF Ltd.</t>
  </si>
  <si>
    <t>INE647A01010</t>
  </si>
  <si>
    <t>SRF</t>
  </si>
  <si>
    <t>Bharat Heavy Electricals Ltd.</t>
  </si>
  <si>
    <t>INE257A01026</t>
  </si>
  <si>
    <t>BHEL</t>
  </si>
  <si>
    <t>HITACHI ENERGY INDIA LIMITED</t>
  </si>
  <si>
    <t>INE07Y701011</t>
  </si>
  <si>
    <t>POWERINDIA</t>
  </si>
  <si>
    <t>Meesho Limited</t>
  </si>
  <si>
    <t>INE0VDM01015</t>
  </si>
  <si>
    <t>MEESHO</t>
  </si>
  <si>
    <t>NTPC GREEN ENERGY LIMITED</t>
  </si>
  <si>
    <t>INE0ONG01011</t>
  </si>
  <si>
    <t>NTPCGREEN</t>
  </si>
  <si>
    <t>NHPC Limited</t>
  </si>
  <si>
    <t>INE848E01016</t>
  </si>
  <si>
    <t>NHPC</t>
  </si>
  <si>
    <t>PB Fintech Limited</t>
  </si>
  <si>
    <t>INE417T01026</t>
  </si>
  <si>
    <t>POLICYBZR</t>
  </si>
  <si>
    <t>SBI CARDS AND PAYMENT SERVICES LIMITED</t>
  </si>
  <si>
    <t>INE018E01016</t>
  </si>
  <si>
    <t>SBICARD</t>
  </si>
  <si>
    <t>Ashok Leyland Ltd.</t>
  </si>
  <si>
    <t>INE208A01029</t>
  </si>
  <si>
    <t>ASHOKLEY</t>
  </si>
  <si>
    <t>SUZLON ENERGY LTD.</t>
  </si>
  <si>
    <t>INE040H01021</t>
  </si>
  <si>
    <t>SUZLON</t>
  </si>
  <si>
    <t>Aditya Birla Capital Ltd</t>
  </si>
  <si>
    <t>INE674K01013</t>
  </si>
  <si>
    <t>ABCAPITAL</t>
  </si>
  <si>
    <t>One 97 Communications Limited</t>
  </si>
  <si>
    <t>INE982J01020</t>
  </si>
  <si>
    <t>PAYTM</t>
  </si>
  <si>
    <t>Indian Overseas Bank</t>
  </si>
  <si>
    <t>INE565A01014</t>
  </si>
  <si>
    <t>IOB</t>
  </si>
  <si>
    <t>Oracle Financial Services Software Limited</t>
  </si>
  <si>
    <t>INE881D01027</t>
  </si>
  <si>
    <t>OFSS</t>
  </si>
  <si>
    <t>Lenskart Solutions Limited</t>
  </si>
  <si>
    <t>INE956O01016</t>
  </si>
  <si>
    <t>LENSKART</t>
  </si>
  <si>
    <t>GE Vernova T&amp;D India Limited</t>
  </si>
  <si>
    <t>INE200A01026</t>
  </si>
  <si>
    <t>GVTD</t>
  </si>
  <si>
    <t>GVT&amp;D</t>
  </si>
  <si>
    <t>Rail Vikas Nigam Limited</t>
  </si>
  <si>
    <t>INE415G01027</t>
  </si>
  <si>
    <t>RVNL</t>
  </si>
  <si>
    <t>Prestige Estates Projects Limited</t>
  </si>
  <si>
    <t>INE811K01011</t>
  </si>
  <si>
    <t>PRESTIGE</t>
  </si>
  <si>
    <t>Lloyds Metals and Energy Limited</t>
  </si>
  <si>
    <t>INE281B01032</t>
  </si>
  <si>
    <t>LLOYDSME</t>
  </si>
  <si>
    <t>UNO Minda Limited</t>
  </si>
  <si>
    <t>INE405E01023</t>
  </si>
  <si>
    <t>UNOMINDA</t>
  </si>
  <si>
    <t>Fortis Healthcare Ltd</t>
  </si>
  <si>
    <t>INE061F01013</t>
  </si>
  <si>
    <t>FORTIS</t>
  </si>
  <si>
    <t>FSN E-Commerce Ventures Limited</t>
  </si>
  <si>
    <t>INE388Y01029</t>
  </si>
  <si>
    <t>NYKAA</t>
  </si>
  <si>
    <t>Oil India Limited</t>
  </si>
  <si>
    <t>INE274J01014</t>
  </si>
  <si>
    <t>OIL</t>
  </si>
  <si>
    <t>ADANI TOTAL GAS LIMITED</t>
  </si>
  <si>
    <t>INE399L01023</t>
  </si>
  <si>
    <t>ATGL</t>
  </si>
  <si>
    <t>Coromandel International Limited</t>
  </si>
  <si>
    <t>INE169A01031</t>
  </si>
  <si>
    <t>COROMANDEL</t>
  </si>
  <si>
    <t>General Insurance Corporation of India</t>
  </si>
  <si>
    <t>INE481Y01014</t>
  </si>
  <si>
    <t>GICRE</t>
  </si>
  <si>
    <t>Yes Bank Ltd.</t>
  </si>
  <si>
    <t>INE528G01035</t>
  </si>
  <si>
    <t>YESBANK</t>
  </si>
  <si>
    <t>Vishal Mega Mart Limited</t>
  </si>
  <si>
    <t>INE01EA01019</t>
  </si>
  <si>
    <t>VMM</t>
  </si>
  <si>
    <t>Abbott India Ltd.</t>
  </si>
  <si>
    <t>INE358A01014</t>
  </si>
  <si>
    <t>ABBOTINDIA</t>
  </si>
  <si>
    <t>TORRENT POWER LIMITED</t>
  </si>
  <si>
    <t>INE813H01021</t>
  </si>
  <si>
    <t>TORNTPOWER</t>
  </si>
  <si>
    <t>Aurobindo Pharma Ltd.</t>
  </si>
  <si>
    <t>INE406A01037</t>
  </si>
  <si>
    <t>AUROPHARMA</t>
  </si>
  <si>
    <t>NMDC Ltd</t>
  </si>
  <si>
    <t>INE584A01023</t>
  </si>
  <si>
    <t>NMDC</t>
  </si>
  <si>
    <t>Alkem Laboratories Limited</t>
  </si>
  <si>
    <t>INE540L01014</t>
  </si>
  <si>
    <t>ALKEM</t>
  </si>
  <si>
    <t>Berger Paints India Ltd</t>
  </si>
  <si>
    <t>INE463A01038</t>
  </si>
  <si>
    <t>BERGEPAINT</t>
  </si>
  <si>
    <t>M.R.F. Ltd.</t>
  </si>
  <si>
    <t>INE883A01011</t>
  </si>
  <si>
    <t>MRF</t>
  </si>
  <si>
    <t>Patanjali Foods Limited</t>
  </si>
  <si>
    <t>INE619A01035</t>
  </si>
  <si>
    <t>PATANJALI</t>
  </si>
  <si>
    <t>Godrej Properties Limited</t>
  </si>
  <si>
    <t>INE484J01027</t>
  </si>
  <si>
    <t>GODREJPROP</t>
  </si>
  <si>
    <t>HDB FINANCIAL SERVICES LIMITED</t>
  </si>
  <si>
    <t>INE756I01012</t>
  </si>
  <si>
    <t>HDBFS</t>
  </si>
  <si>
    <t>L&amp;T Finance Limited</t>
  </si>
  <si>
    <t>INE498L01015</t>
  </si>
  <si>
    <t>LTF</t>
  </si>
  <si>
    <t>JSW Infrastructure Limited</t>
  </si>
  <si>
    <t>INE880J01026</t>
  </si>
  <si>
    <t>JSWINFRA</t>
  </si>
  <si>
    <t>Schaeffler India Limited</t>
  </si>
  <si>
    <t>INE513A01022</t>
  </si>
  <si>
    <t>SCHAEFFLER</t>
  </si>
  <si>
    <t>IndusInd Bank Ltd.</t>
  </si>
  <si>
    <t>INE095A01012</t>
  </si>
  <si>
    <t>INDUSINDBK</t>
  </si>
  <si>
    <t>Jindal Stainless Limited</t>
  </si>
  <si>
    <t>INE220G01021</t>
  </si>
  <si>
    <t>JSL</t>
  </si>
  <si>
    <t>AU Small Finance Bank Limited</t>
  </si>
  <si>
    <t>INE949L01017</t>
  </si>
  <si>
    <t>AUBANK</t>
  </si>
  <si>
    <t>Colgate-Palmolive (India) Ltd.</t>
  </si>
  <si>
    <t>INE259A01022</t>
  </si>
  <si>
    <t>COLPAL</t>
  </si>
  <si>
    <t>OBEROI REALTY LIMITED</t>
  </si>
  <si>
    <t>INE093I01010</t>
  </si>
  <si>
    <t>OBEROIRLTY</t>
  </si>
  <si>
    <t>Bharat Forge Ltd</t>
  </si>
  <si>
    <t>INE465A01025</t>
  </si>
  <si>
    <t>BHARATFORG</t>
  </si>
  <si>
    <t>Fertilizers and Chemicals Travancore Limited</t>
  </si>
  <si>
    <t>INE188A01015</t>
  </si>
  <si>
    <t>FACT</t>
  </si>
  <si>
    <t>COFORGE LIMITED</t>
  </si>
  <si>
    <t>INE591G01025</t>
  </si>
  <si>
    <t>COFORGE</t>
  </si>
  <si>
    <t>UPL Limited</t>
  </si>
  <si>
    <t>INE628A01036</t>
  </si>
  <si>
    <t>UPL</t>
  </si>
  <si>
    <t>The Phoenix Mills Ltd.</t>
  </si>
  <si>
    <t>INE211B01039</t>
  </si>
  <si>
    <t>PHOENIXLTD</t>
  </si>
  <si>
    <t>Bank of India</t>
  </si>
  <si>
    <t>INE084A01016</t>
  </si>
  <si>
    <t>BANKINDIA</t>
  </si>
  <si>
    <t>Tube Investments of India Ltd</t>
  </si>
  <si>
    <t>INE974X01010</t>
  </si>
  <si>
    <t>TIINDIA</t>
  </si>
  <si>
    <t>Indian Railway Catering &amp; Tourism Corporation Ltd</t>
  </si>
  <si>
    <t>INE335Y01020</t>
  </si>
  <si>
    <t>IRCTC</t>
  </si>
  <si>
    <t>Bharat Dynamics Limited</t>
  </si>
  <si>
    <t>INE171Z01026</t>
  </si>
  <si>
    <t>BDL</t>
  </si>
  <si>
    <t>IDFC FIRST BANK LIMITED</t>
  </si>
  <si>
    <t>INE092T01019</t>
  </si>
  <si>
    <t>IDFCFIRSTB</t>
  </si>
  <si>
    <t>PI Industries Limited</t>
  </si>
  <si>
    <t>INE603J01030</t>
  </si>
  <si>
    <t>PIIND</t>
  </si>
  <si>
    <t>Motilal Oswal Financial Services Limited</t>
  </si>
  <si>
    <t>INE338I01027</t>
  </si>
  <si>
    <t>MOTILALOFS</t>
  </si>
  <si>
    <t>Glenmark Pharmaceuticals ltd</t>
  </si>
  <si>
    <t>INE935A01035</t>
  </si>
  <si>
    <t>GLENMARK</t>
  </si>
  <si>
    <t>Max Financial Services Limited</t>
  </si>
  <si>
    <t>INE180A01020</t>
  </si>
  <si>
    <t>MFSL</t>
  </si>
  <si>
    <t>Steel Authority of India Ltd.</t>
  </si>
  <si>
    <t>INE114A01011</t>
  </si>
  <si>
    <t>SAIL</t>
  </si>
  <si>
    <t>Federal Bank Ltd.</t>
  </si>
  <si>
    <t>INE171A01029</t>
  </si>
  <si>
    <t>FEDERALBNK</t>
  </si>
  <si>
    <t>NIPPON LIFE INDIA ASSET MANAGEMENT LIMITED</t>
  </si>
  <si>
    <t>INE298J01013</t>
  </si>
  <si>
    <t>NAM-INDIA</t>
  </si>
  <si>
    <t>Mphasis Limited</t>
  </si>
  <si>
    <t>INE356A01018</t>
  </si>
  <si>
    <t>MPHASIS</t>
  </si>
  <si>
    <t>Kalyan Jewellers India Limited</t>
  </si>
  <si>
    <t>INE303R01014</t>
  </si>
  <si>
    <t>KALYANKJIL</t>
  </si>
  <si>
    <t>Linde India Limited</t>
  </si>
  <si>
    <t>INE473A01011</t>
  </si>
  <si>
    <t>LINDEINDIA</t>
  </si>
  <si>
    <t>SUNDARAM FINANCE LTD</t>
  </si>
  <si>
    <t>INE660A01013</t>
  </si>
  <si>
    <t>SUNDARMFIN</t>
  </si>
  <si>
    <t>Supreme Industries Ltd.</t>
  </si>
  <si>
    <t>INE195A01028</t>
  </si>
  <si>
    <t>SUPREMEIND</t>
  </si>
  <si>
    <t>Biocon Ltd.</t>
  </si>
  <si>
    <t>INE376G01013</t>
  </si>
  <si>
    <t>BIOCON</t>
  </si>
  <si>
    <t>Tata Communications Limited</t>
  </si>
  <si>
    <t>INE151A01013</t>
  </si>
  <si>
    <t>TATACOMM</t>
  </si>
  <si>
    <t>Laurus Labs Limited</t>
  </si>
  <si>
    <t>INE947Q01028</t>
  </si>
  <si>
    <t>LAURUSLABS</t>
  </si>
  <si>
    <t>Authum Investment &amp; Infrastructure Limited</t>
  </si>
  <si>
    <t>INE206F01022</t>
  </si>
  <si>
    <t>AIIL</t>
  </si>
  <si>
    <t>Godfrey Phillips India Ltd.</t>
  </si>
  <si>
    <t>INE260B01028</t>
  </si>
  <si>
    <t>GODFRYPHLP</t>
  </si>
  <si>
    <t>J.K. CEMENT LTD</t>
  </si>
  <si>
    <t>INE823G01014</t>
  </si>
  <si>
    <t>JKCEMENT</t>
  </si>
  <si>
    <t>United Breweries Ltd.</t>
  </si>
  <si>
    <t>INE686F01025</t>
  </si>
  <si>
    <t>UBL</t>
  </si>
  <si>
    <t>APL Apollo Tubes Limited</t>
  </si>
  <si>
    <t>INE702C01027</t>
  </si>
  <si>
    <t>APLAPOLLO</t>
  </si>
  <si>
    <t>Page Industries Ltd.</t>
  </si>
  <si>
    <t>INE761H01022</t>
  </si>
  <si>
    <t>PAGEIND</t>
  </si>
  <si>
    <t>GlaxoSmithkline Pharmaceuticals Ltd.</t>
  </si>
  <si>
    <t>INE159A01016</t>
  </si>
  <si>
    <t>GLAXO</t>
  </si>
  <si>
    <t>Balkrishna Industries Ltd.</t>
  </si>
  <si>
    <t>INE787D01026</t>
  </si>
  <si>
    <t>BALKRISIND</t>
  </si>
  <si>
    <t>ITC Hotels Limited</t>
  </si>
  <si>
    <t>INE379A01028</t>
  </si>
  <si>
    <t>ITCHOTELS</t>
  </si>
  <si>
    <t>Cochin Shipyard Limited</t>
  </si>
  <si>
    <t>INE704P01025</t>
  </si>
  <si>
    <t>COCHINSHIP</t>
  </si>
  <si>
    <t>Premier Energies Limited</t>
  </si>
  <si>
    <t>INE0BS701011</t>
  </si>
  <si>
    <t>PREMIERENE</t>
  </si>
  <si>
    <t>Hexaware Technologies Limited</t>
  </si>
  <si>
    <t>INE093A01041</t>
  </si>
  <si>
    <t xml:space="preserve">HEXT </t>
  </si>
  <si>
    <t>HEXT</t>
  </si>
  <si>
    <t>L&amp;T Technology Services Limited</t>
  </si>
  <si>
    <t>INE010V01017</t>
  </si>
  <si>
    <t>LTTS</t>
  </si>
  <si>
    <t>Voltas Ltd.</t>
  </si>
  <si>
    <t>INE226A01021</t>
  </si>
  <si>
    <t>VOLTAS</t>
  </si>
  <si>
    <t>Multi Commodity Exchange of India Ltd</t>
  </si>
  <si>
    <t>INE745G01035</t>
  </si>
  <si>
    <t>MCX</t>
  </si>
  <si>
    <t>Housing &amp;Urban Development Corporation Ltd.</t>
  </si>
  <si>
    <t>INE031A01017</t>
  </si>
  <si>
    <t>HUDCO</t>
  </si>
  <si>
    <t>360 ONE WAM LIMITED</t>
  </si>
  <si>
    <t>INE466L01038</t>
  </si>
  <si>
    <t>360ONE</t>
  </si>
  <si>
    <t>Bank of maharashtra</t>
  </si>
  <si>
    <t>INE457A01014</t>
  </si>
  <si>
    <t>MAHABANK</t>
  </si>
  <si>
    <t>Procter &amp; Gamble Hygiene &amp; Health Care Ltd.</t>
  </si>
  <si>
    <t>INE179A01014</t>
  </si>
  <si>
    <t>PGHH</t>
  </si>
  <si>
    <t>PETRONET LNG LTD.</t>
  </si>
  <si>
    <t>INE347G01014</t>
  </si>
  <si>
    <t>PETRONET</t>
  </si>
  <si>
    <t>Indian Renewable Energy Development Agency Limited</t>
  </si>
  <si>
    <t>INE202E01016</t>
  </si>
  <si>
    <t>IREDA</t>
  </si>
  <si>
    <t>Anthem Biosciences Limited</t>
  </si>
  <si>
    <t>INE0CZ201020</t>
  </si>
  <si>
    <t>ANTHEM</t>
  </si>
  <si>
    <t>Container Corporation Of India Ltd.</t>
  </si>
  <si>
    <t>INE111A01025</t>
  </si>
  <si>
    <t>CONCOR</t>
  </si>
  <si>
    <t>Mahindra &amp; Mahindra Financial Services Limited</t>
  </si>
  <si>
    <t>INE774D01024</t>
  </si>
  <si>
    <t>M&amp;MFIN</t>
  </si>
  <si>
    <t>National Aluminium Co. Ltd.</t>
  </si>
  <si>
    <t>INE139A01034</t>
  </si>
  <si>
    <t>NATIONALUM</t>
  </si>
  <si>
    <t>DALMIA BHARAT LIMITED</t>
  </si>
  <si>
    <t>INE00R701025</t>
  </si>
  <si>
    <t>DALBHARAT</t>
  </si>
  <si>
    <t>Jubilant Foodworks Limited</t>
  </si>
  <si>
    <t>INE797F01020</t>
  </si>
  <si>
    <t>JUBLFOOD</t>
  </si>
  <si>
    <t>KAYNES TECHNOLOGY INDIA LIMITED</t>
  </si>
  <si>
    <t>INE918Z01012</t>
  </si>
  <si>
    <t>KAYNES</t>
  </si>
  <si>
    <t>Escorts Kubota Limited</t>
  </si>
  <si>
    <t>INE042A01014</t>
  </si>
  <si>
    <t>ESCORTS</t>
  </si>
  <si>
    <t>Radico Khaitan Ltd.</t>
  </si>
  <si>
    <t>INE944F01028</t>
  </si>
  <si>
    <t>RADICO</t>
  </si>
  <si>
    <t>Gujarat Fluorochemicals Limited</t>
  </si>
  <si>
    <t>INE09N301011</t>
  </si>
  <si>
    <t>FLUOROCHEM</t>
  </si>
  <si>
    <t>Endurance Technologies Limited</t>
  </si>
  <si>
    <t>INE913H01037</t>
  </si>
  <si>
    <t>ENDURANCE</t>
  </si>
  <si>
    <t>KEI Industries Ltd.</t>
  </si>
  <si>
    <t>INE878B01027</t>
  </si>
  <si>
    <t>KEI</t>
  </si>
  <si>
    <t>ASTRAL LIMITED</t>
  </si>
  <si>
    <t>INE006I01046</t>
  </si>
  <si>
    <t>ASTRAL</t>
  </si>
  <si>
    <t>Thermax Ltd.</t>
  </si>
  <si>
    <t>INE152A01029</t>
  </si>
  <si>
    <t>THERMAX</t>
  </si>
  <si>
    <t>Physicswallah Limited</t>
  </si>
  <si>
    <t>INE0LP301011</t>
  </si>
  <si>
    <t>PWL</t>
  </si>
  <si>
    <t>UCO Bank</t>
  </si>
  <si>
    <t>INE691A01018</t>
  </si>
  <si>
    <t>UCOBANK</t>
  </si>
  <si>
    <t>Blue Star Ltd</t>
  </si>
  <si>
    <t>INE472A01039</t>
  </si>
  <si>
    <t>BLUESTARCO</t>
  </si>
  <si>
    <t>Narayana Hrudayalaya Limited</t>
  </si>
  <si>
    <t>INE410P01011</t>
  </si>
  <si>
    <t>NH</t>
  </si>
  <si>
    <t>Tata Investment Corporation Ltd.</t>
  </si>
  <si>
    <t>INE672A01026</t>
  </si>
  <si>
    <t>TATAINVEST</t>
  </si>
  <si>
    <t>Godrej Industries Ltd.</t>
  </si>
  <si>
    <t>INE233A01035</t>
  </si>
  <si>
    <t>GODREJIND</t>
  </si>
  <si>
    <t>POONAWALLA FINCORP LIMITED</t>
  </si>
  <si>
    <t>INE511C01022</t>
  </si>
  <si>
    <t>POONAWALLA</t>
  </si>
  <si>
    <t>CRISIL Ltd.</t>
  </si>
  <si>
    <t>INE007A01025</t>
  </si>
  <si>
    <t>CRISIL</t>
  </si>
  <si>
    <t>K.P.R. Mill Ltd.</t>
  </si>
  <si>
    <t>INE930H01031</t>
  </si>
  <si>
    <t>KPRMILL</t>
  </si>
  <si>
    <t>CHOLAMANDALAM FINANCIAL HOLDINGS LIMITED</t>
  </si>
  <si>
    <t>INE149A01033</t>
  </si>
  <si>
    <t>CHOLAHLDNG</t>
  </si>
  <si>
    <t>3M India Ltd.</t>
  </si>
  <si>
    <t>INE470A01017</t>
  </si>
  <si>
    <t>3MINDIA</t>
  </si>
  <si>
    <t>Ipca Laboratories Ltd.</t>
  </si>
  <si>
    <t>INE571A01038</t>
  </si>
  <si>
    <t>IPCALAB</t>
  </si>
  <si>
    <t>Piramal Finance Limited</t>
  </si>
  <si>
    <t>INE202B01038</t>
  </si>
  <si>
    <t>PIRAMALFIN</t>
  </si>
  <si>
    <t>Apar Industries Ltd</t>
  </si>
  <si>
    <t>INE372A01015</t>
  </si>
  <si>
    <t>APARINDS</t>
  </si>
  <si>
    <t>SJVN LIMITED</t>
  </si>
  <si>
    <t>INE002L01015</t>
  </si>
  <si>
    <t>SJVN</t>
  </si>
  <si>
    <t>Global Health Limited</t>
  </si>
  <si>
    <t>INE474Q01031</t>
  </si>
  <si>
    <t>MEDANTA</t>
  </si>
  <si>
    <t>Small Cap</t>
  </si>
  <si>
    <t>BSE_symb</t>
  </si>
  <si>
    <t>NSE_symb</t>
  </si>
  <si>
    <t>BSE_mark_cap</t>
  </si>
  <si>
    <t>NSE_mark_cap</t>
  </si>
  <si>
    <t>Others</t>
  </si>
  <si>
    <t>NA</t>
  </si>
  <si>
    <t>Oil, Gas &amp; Consumable Fuels</t>
  </si>
  <si>
    <t>Financial Services</t>
  </si>
  <si>
    <t>Telecommunication</t>
  </si>
  <si>
    <t>Information Technology</t>
  </si>
  <si>
    <t>Fast Moving Consumer Goods</t>
  </si>
  <si>
    <t>Construction</t>
  </si>
  <si>
    <t>Automobile &amp; Auto Components</t>
  </si>
  <si>
    <t>Healthcare</t>
  </si>
  <si>
    <t>Construction Materials</t>
  </si>
  <si>
    <t>Consumer Durables</t>
  </si>
  <si>
    <t>Power</t>
  </si>
  <si>
    <t>Capital Goods</t>
  </si>
  <si>
    <t>Services</t>
  </si>
  <si>
    <t>Metals &amp; Mining</t>
  </si>
  <si>
    <t>Consumer Services</t>
  </si>
  <si>
    <t>Textiles</t>
  </si>
  <si>
    <t>Realty</t>
  </si>
  <si>
    <t>Chemicals</t>
  </si>
  <si>
    <t>Utilities</t>
  </si>
  <si>
    <t>Industrial Products</t>
  </si>
  <si>
    <t>Diversified</t>
  </si>
  <si>
    <t>Industry_Classification</t>
  </si>
  <si>
    <t>Category</t>
  </si>
  <si>
    <t>Private</t>
  </si>
  <si>
    <t>Mumbai</t>
  </si>
  <si>
    <t>West</t>
  </si>
  <si>
    <t>New Delhi</t>
  </si>
  <si>
    <t>North</t>
  </si>
  <si>
    <t>Public</t>
  </si>
  <si>
    <t>Bengaluru</t>
  </si>
  <si>
    <t>South</t>
  </si>
  <si>
    <t>Pune</t>
  </si>
  <si>
    <t>Kolkata</t>
  </si>
  <si>
    <t>East</t>
  </si>
  <si>
    <t>Noida</t>
  </si>
  <si>
    <t>Ahmedabad</t>
  </si>
  <si>
    <t>Gurugram</t>
  </si>
  <si>
    <t>Udaipur</t>
  </si>
  <si>
    <t>Hyderabad</t>
  </si>
  <si>
    <t>Chennai</t>
  </si>
  <si>
    <t>Vadodara</t>
  </si>
  <si>
    <t>Nagpur</t>
  </si>
  <si>
    <t>Kochi</t>
  </si>
  <si>
    <t>Greater Noida</t>
  </si>
  <si>
    <t>Faridabad</t>
  </si>
  <si>
    <t>Manesar</t>
  </si>
  <si>
    <t>Indore</t>
  </si>
  <si>
    <t>Jaipur</t>
  </si>
  <si>
    <t>Aluva</t>
  </si>
  <si>
    <t>Thrissur</t>
  </si>
  <si>
    <t>Kanpur</t>
  </si>
  <si>
    <t>Delhi NCR</t>
  </si>
  <si>
    <t>Secunderabad</t>
  </si>
  <si>
    <t>Bhubaneswar</t>
  </si>
  <si>
    <t>Mysuru</t>
  </si>
  <si>
    <t>Aurangabad</t>
  </si>
  <si>
    <t>Coimbatore</t>
  </si>
  <si>
    <t>Shimla</t>
  </si>
  <si>
    <t>Zone</t>
  </si>
  <si>
    <t>Issuer_Type</t>
  </si>
  <si>
    <t>Corporate_Office_City</t>
  </si>
  <si>
    <t>Nifty Index</t>
  </si>
  <si>
    <t>Index 1</t>
  </si>
  <si>
    <t>Nifty Next50 Index</t>
  </si>
  <si>
    <t>Nifty 500 Index</t>
  </si>
  <si>
    <t>Other</t>
  </si>
  <si>
    <t>Index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</si>
</sst>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43" fontId="2" fillId="0" borderId="1" xfId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43" fontId="3" fillId="0" borderId="1" xfId="1" applyFont="1" applyFill="1" applyBorder="1"/>
    <xf numFmtId="0" fontId="3" fillId="0" borderId="1" xfId="1" applyNumberFormat="1" applyFont="1" applyFill="1" applyBorder="1"/>
    <xf numFmtId="9" fontId="0" fillId="0" borderId="0" xfId="2" applyFont="1"/>
    <xf numFmtId="0" fontId="3" fillId="0" borderId="2" xfId="1" applyNumberFormat="1" applyFont="1" applyFill="1" applyBorder="1"/>
    <xf numFmtId="0" fontId="2" fillId="0" borderId="2" xfId="0" applyFont="1" applyFill="1" applyBorder="1" applyAlignment="1">
      <alignment vertical="center" wrapText="1"/>
    </xf>
    <xf numFmtId="0" fontId="3" fillId="0" borderId="2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5"/>
  <sheetViews>
    <sheetView tabSelected="1" topLeftCell="E1" zoomScale="99" workbookViewId="0">
      <selection activeCell="N1" sqref="N1"/>
    </sheetView>
  </sheetViews>
  <sheetFormatPr defaultRowHeight="14.5" x14ac:dyDescent="0.35"/>
  <cols>
    <col min="1" max="1" width="7.1796875" bestFit="1" customWidth="1"/>
    <col min="2" max="2" width="34.6328125" customWidth="1"/>
    <col min="3" max="3" width="15.36328125" bestFit="1" customWidth="1"/>
    <col min="4" max="4" width="15.81640625" bestFit="1" customWidth="1"/>
    <col min="5" max="5" width="14.81640625" customWidth="1"/>
    <col min="6" max="6" width="15.81640625" bestFit="1" customWidth="1"/>
    <col min="7" max="7" width="13.453125" bestFit="1" customWidth="1"/>
    <col min="8" max="8" width="14" customWidth="1"/>
    <col min="9" max="9" width="29.81640625" bestFit="1" customWidth="1"/>
    <col min="10" max="10" width="12.90625" bestFit="1" customWidth="1"/>
    <col min="11" max="11" width="22.90625" bestFit="1" customWidth="1"/>
    <col min="12" max="12" width="9.90625" customWidth="1"/>
    <col min="13" max="13" width="11.90625" customWidth="1"/>
  </cols>
  <sheetData>
    <row r="1" spans="1:14" ht="42" x14ac:dyDescent="0.35">
      <c r="A1" s="1" t="s">
        <v>0</v>
      </c>
      <c r="B1" s="1" t="s">
        <v>1</v>
      </c>
      <c r="C1" s="1" t="s">
        <v>2</v>
      </c>
      <c r="D1" s="1" t="s">
        <v>760</v>
      </c>
      <c r="E1" s="2" t="s">
        <v>762</v>
      </c>
      <c r="F1" s="3" t="s">
        <v>761</v>
      </c>
      <c r="G1" s="2" t="s">
        <v>763</v>
      </c>
      <c r="H1" s="4" t="s">
        <v>788</v>
      </c>
      <c r="I1" s="4" t="s">
        <v>787</v>
      </c>
      <c r="J1" s="4" t="s">
        <v>825</v>
      </c>
      <c r="K1" s="4" t="s">
        <v>826</v>
      </c>
      <c r="L1" s="4" t="s">
        <v>824</v>
      </c>
      <c r="M1" s="11" t="s">
        <v>828</v>
      </c>
      <c r="N1" s="11" t="s">
        <v>832</v>
      </c>
    </row>
    <row r="2" spans="1:14" x14ac:dyDescent="0.35">
      <c r="A2" s="5">
        <v>13</v>
      </c>
      <c r="B2" s="6" t="s">
        <v>41</v>
      </c>
      <c r="C2" s="6" t="s">
        <v>42</v>
      </c>
      <c r="D2" s="6" t="s">
        <v>43</v>
      </c>
      <c r="E2" s="7">
        <v>470436.82858841395</v>
      </c>
      <c r="F2" s="6" t="s">
        <v>43</v>
      </c>
      <c r="G2" s="7">
        <v>470458.28779999999</v>
      </c>
      <c r="H2" s="8" t="s">
        <v>7</v>
      </c>
      <c r="I2" s="8" t="s">
        <v>772</v>
      </c>
      <c r="J2" s="8" t="s">
        <v>789</v>
      </c>
      <c r="K2" s="8" t="s">
        <v>792</v>
      </c>
      <c r="L2" s="8" t="s">
        <v>793</v>
      </c>
      <c r="M2" s="10" t="s">
        <v>827</v>
      </c>
      <c r="N2" s="10" t="str">
        <f>"Nifty" &amp;I2&amp; "Index"</f>
        <v>NiftyAutomobile &amp; Auto ComponentsIndex</v>
      </c>
    </row>
    <row r="3" spans="1:14" x14ac:dyDescent="0.35">
      <c r="A3" s="5">
        <v>14</v>
      </c>
      <c r="B3" s="6" t="s">
        <v>44</v>
      </c>
      <c r="C3" s="6" t="s">
        <v>45</v>
      </c>
      <c r="D3" s="6" t="s">
        <v>46</v>
      </c>
      <c r="E3" s="7">
        <v>431855.40648070001</v>
      </c>
      <c r="F3" s="6" t="s">
        <v>46</v>
      </c>
      <c r="G3" s="7">
        <v>431885.95189999999</v>
      </c>
      <c r="H3" s="8" t="s">
        <v>7</v>
      </c>
      <c r="I3" s="8" t="s">
        <v>772</v>
      </c>
      <c r="J3" s="8" t="s">
        <v>789</v>
      </c>
      <c r="K3" s="8" t="s">
        <v>790</v>
      </c>
      <c r="L3" s="8" t="s">
        <v>791</v>
      </c>
      <c r="M3" s="10" t="s">
        <v>827</v>
      </c>
      <c r="N3" s="10" t="str">
        <f t="shared" ref="N3:N66" si="0">"Nifty" &amp;I3&amp; "Index"</f>
        <v>NiftyAutomobile &amp; Auto ComponentsIndex</v>
      </c>
    </row>
    <row r="4" spans="1:14" x14ac:dyDescent="0.35">
      <c r="A4" s="5">
        <v>35</v>
      </c>
      <c r="B4" s="6" t="s">
        <v>107</v>
      </c>
      <c r="C4" s="6" t="s">
        <v>108</v>
      </c>
      <c r="D4" s="6" t="s">
        <v>109</v>
      </c>
      <c r="E4" s="7">
        <v>245111.96022765801</v>
      </c>
      <c r="F4" s="6" t="s">
        <v>109</v>
      </c>
      <c r="G4" s="7">
        <v>245143.41</v>
      </c>
      <c r="H4" s="8" t="s">
        <v>7</v>
      </c>
      <c r="I4" s="8" t="s">
        <v>772</v>
      </c>
      <c r="J4" s="8" t="s">
        <v>789</v>
      </c>
      <c r="K4" s="8" t="s">
        <v>797</v>
      </c>
      <c r="L4" s="8" t="s">
        <v>791</v>
      </c>
      <c r="M4" s="10" t="s">
        <v>827</v>
      </c>
      <c r="N4" s="10" t="str">
        <f t="shared" si="0"/>
        <v>NiftyAutomobile &amp; Auto ComponentsIndex</v>
      </c>
    </row>
    <row r="5" spans="1:14" x14ac:dyDescent="0.35">
      <c r="A5" s="5">
        <v>43</v>
      </c>
      <c r="B5" s="6" t="s">
        <v>131</v>
      </c>
      <c r="C5" s="6" t="s">
        <v>132</v>
      </c>
      <c r="D5" s="6" t="s">
        <v>133</v>
      </c>
      <c r="E5" s="7">
        <v>190810.38074816699</v>
      </c>
      <c r="F5" s="6" t="s">
        <v>133</v>
      </c>
      <c r="G5" s="7">
        <v>190815.2818</v>
      </c>
      <c r="H5" s="8" t="s">
        <v>7</v>
      </c>
      <c r="I5" s="8" t="s">
        <v>772</v>
      </c>
      <c r="J5" s="8" t="s">
        <v>789</v>
      </c>
      <c r="K5" s="8" t="s">
        <v>802</v>
      </c>
      <c r="L5" s="8" t="s">
        <v>793</v>
      </c>
      <c r="M5" s="10" t="s">
        <v>829</v>
      </c>
      <c r="N5" s="10" t="str">
        <f t="shared" si="0"/>
        <v>NiftyAutomobile &amp; Auto ComponentsIndex</v>
      </c>
    </row>
    <row r="6" spans="1:14" x14ac:dyDescent="0.35">
      <c r="A6" s="5">
        <v>48</v>
      </c>
      <c r="B6" s="6" t="s">
        <v>146</v>
      </c>
      <c r="C6" s="6" t="s">
        <v>147</v>
      </c>
      <c r="D6" s="6" t="s">
        <v>148</v>
      </c>
      <c r="E6" s="7">
        <v>179560.40195133199</v>
      </c>
      <c r="F6" s="6" t="s">
        <v>148</v>
      </c>
      <c r="G6" s="7">
        <v>179584.54490000001</v>
      </c>
      <c r="H6" s="8" t="s">
        <v>7</v>
      </c>
      <c r="I6" s="8" t="s">
        <v>772</v>
      </c>
      <c r="J6" s="8" t="s">
        <v>789</v>
      </c>
      <c r="K6" s="8" t="s">
        <v>792</v>
      </c>
      <c r="L6" s="8" t="s">
        <v>793</v>
      </c>
      <c r="M6" s="10" t="s">
        <v>829</v>
      </c>
      <c r="N6" s="10" t="str">
        <f t="shared" si="0"/>
        <v>NiftyAutomobile &amp; Auto ComponentsIndex</v>
      </c>
    </row>
    <row r="7" spans="1:14" x14ac:dyDescent="0.35">
      <c r="A7" s="5">
        <v>57</v>
      </c>
      <c r="B7" s="6" t="s">
        <v>173</v>
      </c>
      <c r="C7" s="6" t="s">
        <v>174</v>
      </c>
      <c r="D7" s="6" t="s">
        <v>175</v>
      </c>
      <c r="E7" s="7">
        <v>158852.144672008</v>
      </c>
      <c r="F7" s="6" t="s">
        <v>175</v>
      </c>
      <c r="G7" s="7">
        <v>158857.1029</v>
      </c>
      <c r="H7" s="8" t="s">
        <v>7</v>
      </c>
      <c r="I7" s="8" t="s">
        <v>772</v>
      </c>
      <c r="J7" s="8" t="s">
        <v>789</v>
      </c>
      <c r="K7" s="8" t="s">
        <v>805</v>
      </c>
      <c r="L7" s="8" t="s">
        <v>796</v>
      </c>
      <c r="M7" s="10" t="s">
        <v>829</v>
      </c>
      <c r="N7" s="10" t="str">
        <f t="shared" si="0"/>
        <v>NiftyAutomobile &amp; Auto ComponentsIndex</v>
      </c>
    </row>
    <row r="8" spans="1:14" x14ac:dyDescent="0.35">
      <c r="A8" s="5">
        <v>65</v>
      </c>
      <c r="B8" s="6" t="s">
        <v>197</v>
      </c>
      <c r="C8" s="6" t="s">
        <v>198</v>
      </c>
      <c r="D8" s="6" t="s">
        <v>199</v>
      </c>
      <c r="E8" s="7">
        <v>138377.23960481898</v>
      </c>
      <c r="F8" s="6" t="s">
        <v>199</v>
      </c>
      <c r="G8" s="7">
        <v>138382.07980000001</v>
      </c>
      <c r="H8" s="8" t="s">
        <v>7</v>
      </c>
      <c r="I8" s="8" t="s">
        <v>772</v>
      </c>
      <c r="J8" s="8" t="s">
        <v>789</v>
      </c>
      <c r="K8" s="8" t="s">
        <v>790</v>
      </c>
      <c r="L8" s="8" t="s">
        <v>791</v>
      </c>
      <c r="M8" s="10" t="s">
        <v>829</v>
      </c>
      <c r="N8" s="10" t="str">
        <f t="shared" si="0"/>
        <v>NiftyAutomobile &amp; Auto ComponentsIndex</v>
      </c>
    </row>
    <row r="9" spans="1:14" x14ac:dyDescent="0.35">
      <c r="A9" s="5">
        <v>69</v>
      </c>
      <c r="B9" s="6" t="s">
        <v>209</v>
      </c>
      <c r="C9" s="6" t="s">
        <v>210</v>
      </c>
      <c r="D9" s="6" t="s">
        <v>211</v>
      </c>
      <c r="E9" s="7">
        <v>133977.94467523199</v>
      </c>
      <c r="F9" s="6" t="s">
        <v>211</v>
      </c>
      <c r="G9" s="7">
        <v>133946.91080000001</v>
      </c>
      <c r="H9" s="8" t="s">
        <v>7</v>
      </c>
      <c r="I9" s="8" t="s">
        <v>772</v>
      </c>
      <c r="J9" s="8" t="s">
        <v>789</v>
      </c>
      <c r="K9" s="8" t="s">
        <v>790</v>
      </c>
      <c r="L9" s="8" t="s">
        <v>791</v>
      </c>
      <c r="M9" s="10" t="s">
        <v>829</v>
      </c>
      <c r="N9" s="10" t="str">
        <f t="shared" si="0"/>
        <v>NiftyAutomobile &amp; Auto ComponentsIndex</v>
      </c>
    </row>
    <row r="10" spans="1:14" x14ac:dyDescent="0.35">
      <c r="A10" s="5">
        <v>87</v>
      </c>
      <c r="B10" s="6" t="s">
        <v>263</v>
      </c>
      <c r="C10" s="6" t="s">
        <v>264</v>
      </c>
      <c r="D10" s="6" t="s">
        <v>265</v>
      </c>
      <c r="E10" s="7">
        <v>112075.273727529</v>
      </c>
      <c r="F10" s="6" t="s">
        <v>265</v>
      </c>
      <c r="G10" s="7">
        <v>112069.746</v>
      </c>
      <c r="H10" s="8" t="s">
        <v>7</v>
      </c>
      <c r="I10" s="8" t="s">
        <v>772</v>
      </c>
      <c r="J10" s="8" t="s">
        <v>789</v>
      </c>
      <c r="K10" s="8" t="s">
        <v>795</v>
      </c>
      <c r="L10" s="8" t="s">
        <v>796</v>
      </c>
      <c r="M10" s="10" t="s">
        <v>829</v>
      </c>
      <c r="N10" s="10" t="str">
        <f t="shared" si="0"/>
        <v>NiftyAutomobile &amp; Auto ComponentsIndex</v>
      </c>
    </row>
    <row r="11" spans="1:14" x14ac:dyDescent="0.35">
      <c r="A11" s="5">
        <v>89</v>
      </c>
      <c r="B11" s="6" t="s">
        <v>269</v>
      </c>
      <c r="C11" s="6" t="s">
        <v>270</v>
      </c>
      <c r="D11" s="6" t="s">
        <v>271</v>
      </c>
      <c r="E11" s="7">
        <v>111481.18350790601</v>
      </c>
      <c r="F11" s="6" t="s">
        <v>271</v>
      </c>
      <c r="G11" s="7">
        <v>111482.97530000001</v>
      </c>
      <c r="H11" s="8" t="s">
        <v>7</v>
      </c>
      <c r="I11" s="8" t="s">
        <v>772</v>
      </c>
      <c r="J11" s="8" t="s">
        <v>789</v>
      </c>
      <c r="K11" s="8" t="s">
        <v>800</v>
      </c>
      <c r="L11" s="8" t="s">
        <v>793</v>
      </c>
      <c r="M11" s="10" t="s">
        <v>829</v>
      </c>
      <c r="N11" s="10" t="str">
        <f t="shared" si="0"/>
        <v>NiftyAutomobile &amp; Auto ComponentsIndex</v>
      </c>
    </row>
    <row r="12" spans="1:14" x14ac:dyDescent="0.35">
      <c r="A12" s="5">
        <v>99</v>
      </c>
      <c r="B12" s="6" t="s">
        <v>299</v>
      </c>
      <c r="C12" s="6" t="s">
        <v>300</v>
      </c>
      <c r="D12" s="6" t="s">
        <v>301</v>
      </c>
      <c r="E12" s="7">
        <v>105539.36575080101</v>
      </c>
      <c r="F12" s="6" t="s">
        <v>301</v>
      </c>
      <c r="G12" s="7">
        <v>105543.5132</v>
      </c>
      <c r="H12" s="8" t="s">
        <v>7</v>
      </c>
      <c r="I12" s="8" t="s">
        <v>772</v>
      </c>
      <c r="J12" s="8" t="s">
        <v>789</v>
      </c>
      <c r="K12" s="8" t="s">
        <v>792</v>
      </c>
      <c r="L12" s="8" t="s">
        <v>793</v>
      </c>
      <c r="M12" s="10" t="s">
        <v>830</v>
      </c>
      <c r="N12" s="10" t="str">
        <f t="shared" si="0"/>
        <v>NiftyAutomobile &amp; Auto ComponentsIndex</v>
      </c>
    </row>
    <row r="13" spans="1:14" x14ac:dyDescent="0.35">
      <c r="A13" s="5">
        <v>137</v>
      </c>
      <c r="B13" s="6" t="s">
        <v>415</v>
      </c>
      <c r="C13" s="6" t="s">
        <v>416</v>
      </c>
      <c r="D13" s="6" t="s">
        <v>417</v>
      </c>
      <c r="E13" s="7">
        <v>82078.912454385005</v>
      </c>
      <c r="F13" s="6" t="s">
        <v>417</v>
      </c>
      <c r="G13" s="7">
        <v>82093.208599999998</v>
      </c>
      <c r="H13" s="8" t="s">
        <v>308</v>
      </c>
      <c r="I13" s="8" t="s">
        <v>772</v>
      </c>
      <c r="J13" s="8" t="s">
        <v>789</v>
      </c>
      <c r="K13" s="8" t="s">
        <v>805</v>
      </c>
      <c r="L13" s="8" t="s">
        <v>796</v>
      </c>
      <c r="M13" s="10" t="s">
        <v>830</v>
      </c>
      <c r="N13" s="10" t="str">
        <f t="shared" si="0"/>
        <v>NiftyAutomobile &amp; Auto ComponentsIndex</v>
      </c>
    </row>
    <row r="14" spans="1:14" x14ac:dyDescent="0.35">
      <c r="A14" s="5">
        <v>148</v>
      </c>
      <c r="B14" s="6" t="s">
        <v>449</v>
      </c>
      <c r="C14" s="6" t="s">
        <v>450</v>
      </c>
      <c r="D14" s="6" t="s">
        <v>451</v>
      </c>
      <c r="E14" s="7">
        <v>70476.495996587997</v>
      </c>
      <c r="F14" s="6" t="s">
        <v>451</v>
      </c>
      <c r="G14" s="7">
        <v>70413.147500000006</v>
      </c>
      <c r="H14" s="8" t="s">
        <v>308</v>
      </c>
      <c r="I14" s="8" t="s">
        <v>772</v>
      </c>
      <c r="J14" s="8" t="s">
        <v>789</v>
      </c>
      <c r="K14" s="8" t="s">
        <v>811</v>
      </c>
      <c r="L14" s="8" t="s">
        <v>793</v>
      </c>
      <c r="M14" s="10" t="s">
        <v>830</v>
      </c>
      <c r="N14" s="10" t="str">
        <f t="shared" si="0"/>
        <v>NiftyAutomobile &amp; Auto ComponentsIndex</v>
      </c>
    </row>
    <row r="15" spans="1:14" x14ac:dyDescent="0.35">
      <c r="A15" s="5">
        <v>163</v>
      </c>
      <c r="B15" s="6" t="s">
        <v>494</v>
      </c>
      <c r="C15" s="6" t="s">
        <v>495</v>
      </c>
      <c r="D15" s="6" t="s">
        <v>496</v>
      </c>
      <c r="E15" s="7">
        <v>64072.743391401003</v>
      </c>
      <c r="F15" s="6" t="s">
        <v>496</v>
      </c>
      <c r="G15" s="7">
        <v>64074.431100000002</v>
      </c>
      <c r="H15" s="8" t="s">
        <v>308</v>
      </c>
      <c r="I15" s="8" t="s">
        <v>772</v>
      </c>
      <c r="J15" s="8" t="s">
        <v>789</v>
      </c>
      <c r="K15" s="8" t="s">
        <v>805</v>
      </c>
      <c r="L15" s="8" t="s">
        <v>796</v>
      </c>
      <c r="M15" s="10" t="s">
        <v>830</v>
      </c>
      <c r="N15" s="10" t="str">
        <f t="shared" si="0"/>
        <v>NiftyAutomobile &amp; Auto ComponentsIndex</v>
      </c>
    </row>
    <row r="16" spans="1:14" x14ac:dyDescent="0.35">
      <c r="A16" s="5">
        <v>169</v>
      </c>
      <c r="B16" s="6" t="s">
        <v>512</v>
      </c>
      <c r="C16" s="6" t="s">
        <v>513</v>
      </c>
      <c r="D16" s="6" t="s">
        <v>514</v>
      </c>
      <c r="E16" s="7">
        <v>62598.422747368997</v>
      </c>
      <c r="F16" s="6" t="s">
        <v>514</v>
      </c>
      <c r="G16" s="7">
        <v>62603.85</v>
      </c>
      <c r="H16" s="8" t="s">
        <v>308</v>
      </c>
      <c r="I16" s="8" t="s">
        <v>772</v>
      </c>
      <c r="J16" s="8" t="s">
        <v>789</v>
      </c>
      <c r="K16" s="8" t="s">
        <v>797</v>
      </c>
      <c r="L16" s="8" t="s">
        <v>791</v>
      </c>
      <c r="M16" s="10" t="s">
        <v>830</v>
      </c>
      <c r="N16" s="10" t="str">
        <f t="shared" si="0"/>
        <v>NiftyAutomobile &amp; Auto ComponentsIndex</v>
      </c>
    </row>
    <row r="17" spans="1:14" x14ac:dyDescent="0.35">
      <c r="A17" s="5">
        <v>181</v>
      </c>
      <c r="B17" s="6" t="s">
        <v>548</v>
      </c>
      <c r="C17" s="6" t="s">
        <v>549</v>
      </c>
      <c r="D17" s="6" t="s">
        <v>550</v>
      </c>
      <c r="E17" s="7">
        <v>57612.949379714002</v>
      </c>
      <c r="F17" s="6" t="s">
        <v>550</v>
      </c>
      <c r="G17" s="7">
        <v>57620.2448</v>
      </c>
      <c r="H17" s="8" t="s">
        <v>308</v>
      </c>
      <c r="I17" s="8" t="s">
        <v>772</v>
      </c>
      <c r="J17" s="8" t="s">
        <v>789</v>
      </c>
      <c r="K17" s="8" t="s">
        <v>805</v>
      </c>
      <c r="L17" s="8" t="s">
        <v>796</v>
      </c>
      <c r="M17" s="10" t="s">
        <v>830</v>
      </c>
      <c r="N17" s="10" t="str">
        <f t="shared" si="0"/>
        <v>NiftyAutomobile &amp; Auto ComponentsIndex</v>
      </c>
    </row>
    <row r="18" spans="1:14" x14ac:dyDescent="0.35">
      <c r="A18" s="5">
        <v>207</v>
      </c>
      <c r="B18" s="6" t="s">
        <v>626</v>
      </c>
      <c r="C18" s="6" t="s">
        <v>627</v>
      </c>
      <c r="D18" s="6" t="s">
        <v>628</v>
      </c>
      <c r="E18" s="7">
        <v>46618.724207230996</v>
      </c>
      <c r="F18" s="6" t="s">
        <v>628</v>
      </c>
      <c r="G18" s="7">
        <v>46627.569199999998</v>
      </c>
      <c r="H18" s="8" t="s">
        <v>308</v>
      </c>
      <c r="I18" s="8" t="s">
        <v>772</v>
      </c>
      <c r="J18" s="8" t="s">
        <v>789</v>
      </c>
      <c r="K18" s="8" t="s">
        <v>790</v>
      </c>
      <c r="L18" s="8" t="s">
        <v>791</v>
      </c>
      <c r="M18" s="10" t="s">
        <v>830</v>
      </c>
      <c r="N18" s="10" t="str">
        <f t="shared" si="0"/>
        <v>NiftyAutomobile &amp; Auto ComponentsIndex</v>
      </c>
    </row>
    <row r="19" spans="1:14" x14ac:dyDescent="0.35">
      <c r="A19" s="5">
        <v>231</v>
      </c>
      <c r="B19" s="6" t="s">
        <v>699</v>
      </c>
      <c r="C19" s="6" t="s">
        <v>700</v>
      </c>
      <c r="D19" s="6" t="s">
        <v>701</v>
      </c>
      <c r="E19" s="7">
        <v>38667.474527946993</v>
      </c>
      <c r="F19" s="6" t="s">
        <v>701</v>
      </c>
      <c r="G19" s="7">
        <v>38671.912100000001</v>
      </c>
      <c r="H19" s="8" t="s">
        <v>308</v>
      </c>
      <c r="I19" s="8" t="s">
        <v>772</v>
      </c>
      <c r="J19" s="8" t="s">
        <v>789</v>
      </c>
      <c r="K19" s="8" t="s">
        <v>821</v>
      </c>
      <c r="L19" s="8" t="s">
        <v>791</v>
      </c>
      <c r="M19" s="10" t="s">
        <v>830</v>
      </c>
      <c r="N19" s="10" t="str">
        <f t="shared" si="0"/>
        <v>NiftyAutomobile &amp; Auto ComponentsIndex</v>
      </c>
    </row>
    <row r="20" spans="1:14" x14ac:dyDescent="0.35">
      <c r="A20" s="5">
        <v>23</v>
      </c>
      <c r="B20" s="6" t="s">
        <v>71</v>
      </c>
      <c r="C20" s="6" t="s">
        <v>72</v>
      </c>
      <c r="D20" s="6" t="s">
        <v>73</v>
      </c>
      <c r="E20" s="7">
        <v>309430.25008928601</v>
      </c>
      <c r="F20" s="6" t="s">
        <v>73</v>
      </c>
      <c r="G20" s="7">
        <v>309448.61489999999</v>
      </c>
      <c r="H20" s="8" t="s">
        <v>7</v>
      </c>
      <c r="I20" s="8" t="s">
        <v>777</v>
      </c>
      <c r="J20" s="8" t="s">
        <v>794</v>
      </c>
      <c r="K20" s="8" t="s">
        <v>795</v>
      </c>
      <c r="L20" s="8" t="s">
        <v>796</v>
      </c>
      <c r="M20" s="10" t="s">
        <v>827</v>
      </c>
      <c r="N20" s="10" t="str">
        <f t="shared" si="0"/>
        <v>NiftyCapital GoodsIndex</v>
      </c>
    </row>
    <row r="21" spans="1:14" x14ac:dyDescent="0.35">
      <c r="A21" s="5">
        <v>27</v>
      </c>
      <c r="B21" s="6" t="s">
        <v>83</v>
      </c>
      <c r="C21" s="6" t="s">
        <v>84</v>
      </c>
      <c r="D21" s="6" t="s">
        <v>85</v>
      </c>
      <c r="E21" s="7">
        <v>293001.17160751502</v>
      </c>
      <c r="F21" s="6" t="s">
        <v>85</v>
      </c>
      <c r="G21" s="7">
        <v>293011.61410000001</v>
      </c>
      <c r="H21" s="8" t="s">
        <v>7</v>
      </c>
      <c r="I21" s="8" t="s">
        <v>777</v>
      </c>
      <c r="J21" s="8" t="s">
        <v>794</v>
      </c>
      <c r="K21" s="8" t="s">
        <v>795</v>
      </c>
      <c r="L21" s="8" t="s">
        <v>796</v>
      </c>
      <c r="M21" s="10" t="s">
        <v>827</v>
      </c>
      <c r="N21" s="10" t="str">
        <f t="shared" si="0"/>
        <v>NiftyCapital GoodsIndex</v>
      </c>
    </row>
    <row r="22" spans="1:14" x14ac:dyDescent="0.35">
      <c r="A22" s="5">
        <v>84</v>
      </c>
      <c r="B22" s="6" t="s">
        <v>254</v>
      </c>
      <c r="C22" s="6" t="s">
        <v>255</v>
      </c>
      <c r="D22" s="6" t="s">
        <v>256</v>
      </c>
      <c r="E22" s="7">
        <v>112972.263250577</v>
      </c>
      <c r="F22" s="6" t="s">
        <v>256</v>
      </c>
      <c r="G22" s="7">
        <v>112966.2855</v>
      </c>
      <c r="H22" s="8" t="s">
        <v>7</v>
      </c>
      <c r="I22" s="8" t="s">
        <v>777</v>
      </c>
      <c r="J22" s="8" t="s">
        <v>789</v>
      </c>
      <c r="K22" s="8" t="s">
        <v>790</v>
      </c>
      <c r="L22" s="8" t="s">
        <v>791</v>
      </c>
      <c r="M22" s="10" t="s">
        <v>829</v>
      </c>
      <c r="N22" s="10" t="str">
        <f t="shared" si="0"/>
        <v>NiftyCapital GoodsIndex</v>
      </c>
    </row>
    <row r="23" spans="1:14" x14ac:dyDescent="0.35">
      <c r="A23" s="5">
        <v>85</v>
      </c>
      <c r="B23" s="6" t="s">
        <v>257</v>
      </c>
      <c r="C23" s="6" t="s">
        <v>258</v>
      </c>
      <c r="D23" s="6" t="s">
        <v>259</v>
      </c>
      <c r="E23" s="7">
        <v>112489.53625334299</v>
      </c>
      <c r="F23" s="6" t="s">
        <v>259</v>
      </c>
      <c r="G23" s="7">
        <v>112488.4905</v>
      </c>
      <c r="H23" s="8" t="s">
        <v>7</v>
      </c>
      <c r="I23" s="8" t="s">
        <v>777</v>
      </c>
      <c r="J23" s="8" t="s">
        <v>789</v>
      </c>
      <c r="K23" s="8" t="s">
        <v>790</v>
      </c>
      <c r="L23" s="8" t="s">
        <v>791</v>
      </c>
      <c r="M23" s="10" t="s">
        <v>829</v>
      </c>
      <c r="N23" s="10" t="str">
        <f t="shared" si="0"/>
        <v>NiftyCapital GoodsIndex</v>
      </c>
    </row>
    <row r="24" spans="1:14" x14ac:dyDescent="0.35">
      <c r="A24" s="5">
        <v>86</v>
      </c>
      <c r="B24" s="6" t="s">
        <v>260</v>
      </c>
      <c r="C24" s="6" t="s">
        <v>261</v>
      </c>
      <c r="D24" s="6" t="s">
        <v>262</v>
      </c>
      <c r="E24" s="7">
        <v>112305.49000714299</v>
      </c>
      <c r="F24" s="6" t="s">
        <v>262</v>
      </c>
      <c r="G24" s="7">
        <v>112306.27439999999</v>
      </c>
      <c r="H24" s="8" t="s">
        <v>7</v>
      </c>
      <c r="I24" s="8" t="s">
        <v>777</v>
      </c>
      <c r="J24" s="8" t="s">
        <v>794</v>
      </c>
      <c r="K24" s="8" t="s">
        <v>790</v>
      </c>
      <c r="L24" s="8" t="s">
        <v>791</v>
      </c>
      <c r="M24" s="10" t="s">
        <v>829</v>
      </c>
      <c r="N24" s="10" t="str">
        <f t="shared" si="0"/>
        <v>NiftyCapital GoodsIndex</v>
      </c>
    </row>
    <row r="25" spans="1:14" x14ac:dyDescent="0.35">
      <c r="A25" s="5">
        <v>88</v>
      </c>
      <c r="B25" s="6" t="s">
        <v>266</v>
      </c>
      <c r="C25" s="6" t="s">
        <v>267</v>
      </c>
      <c r="D25" s="6" t="s">
        <v>268</v>
      </c>
      <c r="E25" s="7">
        <v>111551.91540687501</v>
      </c>
      <c r="F25" s="6" t="s">
        <v>268</v>
      </c>
      <c r="G25" s="7">
        <v>111557.90270000001</v>
      </c>
      <c r="H25" s="8" t="s">
        <v>7</v>
      </c>
      <c r="I25" s="8" t="s">
        <v>777</v>
      </c>
      <c r="J25" s="8" t="s">
        <v>789</v>
      </c>
      <c r="K25" s="8" t="s">
        <v>795</v>
      </c>
      <c r="L25" s="8" t="s">
        <v>796</v>
      </c>
      <c r="M25" s="10" t="s">
        <v>829</v>
      </c>
      <c r="N25" s="10" t="str">
        <f t="shared" si="0"/>
        <v>NiftyCapital GoodsIndex</v>
      </c>
    </row>
    <row r="26" spans="1:14" x14ac:dyDescent="0.35">
      <c r="A26" s="5">
        <v>90</v>
      </c>
      <c r="B26" s="6" t="s">
        <v>272</v>
      </c>
      <c r="C26" s="6" t="s">
        <v>273</v>
      </c>
      <c r="D26" s="6" t="s">
        <v>274</v>
      </c>
      <c r="E26" s="7">
        <v>111413.269</v>
      </c>
      <c r="F26" s="6" t="s">
        <v>274</v>
      </c>
      <c r="G26" s="7">
        <v>111430.11</v>
      </c>
      <c r="H26" s="8" t="s">
        <v>7</v>
      </c>
      <c r="I26" s="8" t="s">
        <v>777</v>
      </c>
      <c r="J26" s="8" t="s">
        <v>789</v>
      </c>
      <c r="K26" s="8" t="s">
        <v>797</v>
      </c>
      <c r="L26" s="8" t="s">
        <v>791</v>
      </c>
      <c r="M26" s="10" t="s">
        <v>829</v>
      </c>
      <c r="N26" s="10" t="str">
        <f t="shared" si="0"/>
        <v>NiftyCapital GoodsIndex</v>
      </c>
    </row>
    <row r="27" spans="1:14" x14ac:dyDescent="0.35">
      <c r="A27" s="5">
        <v>94</v>
      </c>
      <c r="B27" s="6" t="s">
        <v>284</v>
      </c>
      <c r="C27" s="6" t="s">
        <v>285</v>
      </c>
      <c r="D27" s="6" t="s">
        <v>286</v>
      </c>
      <c r="E27" s="7">
        <v>109480.298988536</v>
      </c>
      <c r="F27" s="6" t="s">
        <v>286</v>
      </c>
      <c r="G27" s="7">
        <v>109467.8832</v>
      </c>
      <c r="H27" s="8" t="s">
        <v>7</v>
      </c>
      <c r="I27" s="8" t="s">
        <v>777</v>
      </c>
      <c r="J27" s="8" t="s">
        <v>789</v>
      </c>
      <c r="K27" s="8" t="s">
        <v>790</v>
      </c>
      <c r="L27" s="8" t="s">
        <v>791</v>
      </c>
      <c r="M27" s="10" t="s">
        <v>830</v>
      </c>
      <c r="N27" s="10" t="str">
        <f t="shared" si="0"/>
        <v>NiftyCapital GoodsIndex</v>
      </c>
    </row>
    <row r="28" spans="1:14" x14ac:dyDescent="0.35">
      <c r="A28" s="5">
        <v>92</v>
      </c>
      <c r="B28" s="6" t="s">
        <v>278</v>
      </c>
      <c r="C28" s="6" t="s">
        <v>279</v>
      </c>
      <c r="D28" s="6" t="s">
        <v>280</v>
      </c>
      <c r="E28" s="7">
        <v>110919.33312596299</v>
      </c>
      <c r="F28" s="6" t="s">
        <v>280</v>
      </c>
      <c r="G28" s="7">
        <v>109459.4016</v>
      </c>
      <c r="H28" s="8" t="s">
        <v>7</v>
      </c>
      <c r="I28" s="8" t="s">
        <v>777</v>
      </c>
      <c r="J28" s="8" t="s">
        <v>789</v>
      </c>
      <c r="K28" s="8" t="s">
        <v>790</v>
      </c>
      <c r="L28" s="8" t="s">
        <v>791</v>
      </c>
      <c r="M28" s="10" t="s">
        <v>830</v>
      </c>
      <c r="N28" s="10" t="str">
        <f t="shared" si="0"/>
        <v>NiftyCapital GoodsIndex</v>
      </c>
    </row>
    <row r="29" spans="1:14" x14ac:dyDescent="0.35">
      <c r="A29" s="5">
        <v>120</v>
      </c>
      <c r="B29" s="6" t="s">
        <v>364</v>
      </c>
      <c r="C29" s="6" t="s">
        <v>365</v>
      </c>
      <c r="D29" s="6" t="s">
        <v>366</v>
      </c>
      <c r="E29" s="7">
        <v>92834.513645529005</v>
      </c>
      <c r="F29" s="6" t="s">
        <v>366</v>
      </c>
      <c r="G29" s="7">
        <v>92778.222099999999</v>
      </c>
      <c r="H29" s="8" t="s">
        <v>308</v>
      </c>
      <c r="I29" s="8" t="s">
        <v>777</v>
      </c>
      <c r="J29" s="8" t="s">
        <v>789</v>
      </c>
      <c r="K29" s="8" t="s">
        <v>790</v>
      </c>
      <c r="L29" s="8" t="s">
        <v>791</v>
      </c>
      <c r="M29" s="10" t="s">
        <v>830</v>
      </c>
      <c r="N29" s="10" t="str">
        <f t="shared" si="0"/>
        <v>NiftyCapital GoodsIndex</v>
      </c>
    </row>
    <row r="30" spans="1:14" x14ac:dyDescent="0.35">
      <c r="A30" s="5">
        <v>130</v>
      </c>
      <c r="B30" s="6" t="s">
        <v>394</v>
      </c>
      <c r="C30" s="6" t="s">
        <v>395</v>
      </c>
      <c r="D30" s="6" t="s">
        <v>396</v>
      </c>
      <c r="E30" s="7">
        <v>87271.838199915001</v>
      </c>
      <c r="F30" s="6" t="s">
        <v>396</v>
      </c>
      <c r="G30" s="7">
        <v>87278.802299999996</v>
      </c>
      <c r="H30" s="8" t="s">
        <v>308</v>
      </c>
      <c r="I30" s="8" t="s">
        <v>777</v>
      </c>
      <c r="J30" s="8" t="s">
        <v>794</v>
      </c>
      <c r="K30" s="8" t="s">
        <v>792</v>
      </c>
      <c r="L30" s="8" t="s">
        <v>793</v>
      </c>
      <c r="M30" s="10" t="s">
        <v>830</v>
      </c>
      <c r="N30" s="10" t="str">
        <f t="shared" si="0"/>
        <v>NiftyCapital GoodsIndex</v>
      </c>
    </row>
    <row r="31" spans="1:14" x14ac:dyDescent="0.35">
      <c r="A31" s="5">
        <v>131</v>
      </c>
      <c r="B31" s="6" t="s">
        <v>397</v>
      </c>
      <c r="C31" s="6" t="s">
        <v>398</v>
      </c>
      <c r="D31" s="6" t="s">
        <v>399</v>
      </c>
      <c r="E31" s="7">
        <v>86858.011666068007</v>
      </c>
      <c r="F31" s="6" t="s">
        <v>399</v>
      </c>
      <c r="G31" s="7">
        <v>86853.671199999997</v>
      </c>
      <c r="H31" s="8" t="s">
        <v>308</v>
      </c>
      <c r="I31" s="8" t="s">
        <v>777</v>
      </c>
      <c r="J31" s="8" t="s">
        <v>789</v>
      </c>
      <c r="K31" s="8" t="s">
        <v>795</v>
      </c>
      <c r="L31" s="8" t="s">
        <v>796</v>
      </c>
      <c r="M31" s="10" t="s">
        <v>830</v>
      </c>
      <c r="N31" s="10" t="str">
        <f t="shared" si="0"/>
        <v>NiftyCapital GoodsIndex</v>
      </c>
    </row>
    <row r="32" spans="1:14" x14ac:dyDescent="0.35">
      <c r="A32" s="5">
        <v>138</v>
      </c>
      <c r="B32" s="6" t="s">
        <v>418</v>
      </c>
      <c r="C32" s="6" t="s">
        <v>419</v>
      </c>
      <c r="D32" s="6" t="s">
        <v>420</v>
      </c>
      <c r="E32" s="7">
        <v>79526.976802254008</v>
      </c>
      <c r="F32" s="6" t="s">
        <v>420</v>
      </c>
      <c r="G32" s="7">
        <v>79491.6296</v>
      </c>
      <c r="H32" s="8" t="s">
        <v>308</v>
      </c>
      <c r="I32" s="8" t="s">
        <v>777</v>
      </c>
      <c r="J32" s="8" t="s">
        <v>789</v>
      </c>
      <c r="K32" s="8" t="s">
        <v>797</v>
      </c>
      <c r="L32" s="8" t="s">
        <v>791</v>
      </c>
      <c r="M32" s="10" t="s">
        <v>830</v>
      </c>
      <c r="N32" s="10" t="str">
        <f t="shared" si="0"/>
        <v>NiftyCapital GoodsIndex</v>
      </c>
    </row>
    <row r="33" spans="1:14" x14ac:dyDescent="0.35">
      <c r="A33" s="5">
        <v>144</v>
      </c>
      <c r="B33" s="6" t="s">
        <v>436</v>
      </c>
      <c r="C33" s="6" t="s">
        <v>437</v>
      </c>
      <c r="D33" s="6" t="s">
        <v>438</v>
      </c>
      <c r="E33" s="7">
        <v>72679.41859435699</v>
      </c>
      <c r="F33" s="6" t="s">
        <v>439</v>
      </c>
      <c r="G33" s="7">
        <v>72684.763099999996</v>
      </c>
      <c r="H33" s="8" t="s">
        <v>308</v>
      </c>
      <c r="I33" s="8" t="s">
        <v>777</v>
      </c>
      <c r="J33" s="8" t="s">
        <v>789</v>
      </c>
      <c r="K33" s="8" t="s">
        <v>800</v>
      </c>
      <c r="L33" s="8" t="s">
        <v>793</v>
      </c>
      <c r="M33" s="10" t="s">
        <v>830</v>
      </c>
      <c r="N33" s="10" t="str">
        <f t="shared" si="0"/>
        <v>NiftyCapital GoodsIndex</v>
      </c>
    </row>
    <row r="34" spans="1:14" x14ac:dyDescent="0.35">
      <c r="A34" s="5">
        <v>183</v>
      </c>
      <c r="B34" s="6" t="s">
        <v>554</v>
      </c>
      <c r="C34" s="6" t="s">
        <v>555</v>
      </c>
      <c r="D34" s="6" t="s">
        <v>556</v>
      </c>
      <c r="E34" s="7">
        <v>57203.125446429003</v>
      </c>
      <c r="F34" s="6" t="s">
        <v>556</v>
      </c>
      <c r="G34" s="7">
        <v>57206.150999999998</v>
      </c>
      <c r="H34" s="8" t="s">
        <v>308</v>
      </c>
      <c r="I34" s="8" t="s">
        <v>777</v>
      </c>
      <c r="J34" s="8" t="s">
        <v>794</v>
      </c>
      <c r="K34" s="8" t="s">
        <v>804</v>
      </c>
      <c r="L34" s="8" t="s">
        <v>796</v>
      </c>
      <c r="M34" s="10" t="s">
        <v>830</v>
      </c>
      <c r="N34" s="10" t="str">
        <f t="shared" si="0"/>
        <v>NiftyCapital GoodsIndex</v>
      </c>
    </row>
    <row r="35" spans="1:14" x14ac:dyDescent="0.35">
      <c r="A35" s="5">
        <v>209</v>
      </c>
      <c r="B35" s="6" t="s">
        <v>632</v>
      </c>
      <c r="C35" s="6" t="s">
        <v>633</v>
      </c>
      <c r="D35" s="6" t="s">
        <v>634</v>
      </c>
      <c r="E35" s="7">
        <v>46225.809016952</v>
      </c>
      <c r="F35" s="6" t="s">
        <v>634</v>
      </c>
      <c r="G35" s="7">
        <v>46226.591999999997</v>
      </c>
      <c r="H35" s="8" t="s">
        <v>308</v>
      </c>
      <c r="I35" s="8" t="s">
        <v>777</v>
      </c>
      <c r="J35" s="8" t="s">
        <v>794</v>
      </c>
      <c r="K35" s="8" t="s">
        <v>808</v>
      </c>
      <c r="L35" s="8" t="s">
        <v>796</v>
      </c>
      <c r="M35" s="10" t="s">
        <v>830</v>
      </c>
      <c r="N35" s="10" t="str">
        <f t="shared" si="0"/>
        <v>NiftyCapital GoodsIndex</v>
      </c>
    </row>
    <row r="36" spans="1:14" x14ac:dyDescent="0.35">
      <c r="A36" s="5">
        <v>210</v>
      </c>
      <c r="B36" s="6" t="s">
        <v>635</v>
      </c>
      <c r="C36" s="6" t="s">
        <v>636</v>
      </c>
      <c r="D36" s="6" t="s">
        <v>637</v>
      </c>
      <c r="E36" s="7">
        <v>45789.409693073001</v>
      </c>
      <c r="F36" s="6" t="s">
        <v>637</v>
      </c>
      <c r="G36" s="7">
        <v>45678.343200000003</v>
      </c>
      <c r="H36" s="8" t="s">
        <v>308</v>
      </c>
      <c r="I36" s="8" t="s">
        <v>777</v>
      </c>
      <c r="J36" s="8" t="s">
        <v>789</v>
      </c>
      <c r="K36" s="8" t="s">
        <v>818</v>
      </c>
      <c r="L36" s="8" t="s">
        <v>796</v>
      </c>
      <c r="M36" s="10" t="s">
        <v>830</v>
      </c>
      <c r="N36" s="10" t="str">
        <f t="shared" si="0"/>
        <v>NiftyCapital GoodsIndex</v>
      </c>
    </row>
    <row r="37" spans="1:14" x14ac:dyDescent="0.35">
      <c r="A37" s="5">
        <v>228</v>
      </c>
      <c r="B37" s="6" t="s">
        <v>690</v>
      </c>
      <c r="C37" s="6" t="s">
        <v>691</v>
      </c>
      <c r="D37" s="6" t="s">
        <v>692</v>
      </c>
      <c r="E37" s="7">
        <v>40130.679108009004</v>
      </c>
      <c r="F37" s="6" t="s">
        <v>692</v>
      </c>
      <c r="G37" s="7">
        <v>40134.199699999997</v>
      </c>
      <c r="H37" s="8" t="s">
        <v>308</v>
      </c>
      <c r="I37" s="8" t="s">
        <v>777</v>
      </c>
      <c r="J37" s="8" t="s">
        <v>789</v>
      </c>
      <c r="K37" s="8" t="s">
        <v>810</v>
      </c>
      <c r="L37" s="8" t="s">
        <v>793</v>
      </c>
      <c r="M37" s="10" t="s">
        <v>830</v>
      </c>
      <c r="N37" s="10" t="str">
        <f t="shared" si="0"/>
        <v>NiftyCapital GoodsIndex</v>
      </c>
    </row>
    <row r="38" spans="1:14" x14ac:dyDescent="0.35">
      <c r="A38" s="5">
        <v>232</v>
      </c>
      <c r="B38" s="6" t="s">
        <v>702</v>
      </c>
      <c r="C38" s="6" t="s">
        <v>703</v>
      </c>
      <c r="D38" s="6" t="s">
        <v>704</v>
      </c>
      <c r="E38" s="7">
        <v>38632.909545440001</v>
      </c>
      <c r="F38" s="6" t="s">
        <v>704</v>
      </c>
      <c r="G38" s="7">
        <v>38633.183700000001</v>
      </c>
      <c r="H38" s="8" t="s">
        <v>308</v>
      </c>
      <c r="I38" s="8" t="s">
        <v>777</v>
      </c>
      <c r="J38" s="8" t="s">
        <v>789</v>
      </c>
      <c r="K38" s="8" t="s">
        <v>792</v>
      </c>
      <c r="L38" s="8" t="s">
        <v>793</v>
      </c>
      <c r="M38" s="10" t="s">
        <v>830</v>
      </c>
      <c r="N38" s="10" t="str">
        <f t="shared" si="0"/>
        <v>NiftyCapital GoodsIndex</v>
      </c>
    </row>
    <row r="39" spans="1:14" x14ac:dyDescent="0.35">
      <c r="A39" s="5">
        <v>234</v>
      </c>
      <c r="B39" s="6" t="s">
        <v>708</v>
      </c>
      <c r="C39" s="6" t="s">
        <v>709</v>
      </c>
      <c r="D39" s="6" t="s">
        <v>710</v>
      </c>
      <c r="E39" s="7">
        <v>38582.739013630999</v>
      </c>
      <c r="F39" s="6" t="s">
        <v>710</v>
      </c>
      <c r="G39" s="7">
        <v>38587.349199999997</v>
      </c>
      <c r="H39" s="8" t="s">
        <v>308</v>
      </c>
      <c r="I39" s="8" t="s">
        <v>777</v>
      </c>
      <c r="J39" s="8" t="s">
        <v>789</v>
      </c>
      <c r="K39" s="8" t="s">
        <v>797</v>
      </c>
      <c r="L39" s="8" t="s">
        <v>791</v>
      </c>
      <c r="M39" s="10" t="s">
        <v>830</v>
      </c>
      <c r="N39" s="10" t="str">
        <f t="shared" si="0"/>
        <v>NiftyCapital GoodsIndex</v>
      </c>
    </row>
    <row r="40" spans="1:14" x14ac:dyDescent="0.35">
      <c r="A40" s="5">
        <v>248</v>
      </c>
      <c r="B40" s="6" t="s">
        <v>750</v>
      </c>
      <c r="C40" s="6" t="s">
        <v>751</v>
      </c>
      <c r="D40" s="6" t="s">
        <v>752</v>
      </c>
      <c r="E40" s="7">
        <v>34902.432211287</v>
      </c>
      <c r="F40" s="6" t="s">
        <v>752</v>
      </c>
      <c r="G40" s="7">
        <v>34909.421799999996</v>
      </c>
      <c r="H40" s="8" t="s">
        <v>308</v>
      </c>
      <c r="I40" s="8" t="s">
        <v>777</v>
      </c>
      <c r="J40" s="8" t="s">
        <v>789</v>
      </c>
      <c r="K40" s="8" t="s">
        <v>790</v>
      </c>
      <c r="L40" s="8" t="s">
        <v>791</v>
      </c>
      <c r="M40" s="10" t="s">
        <v>830</v>
      </c>
      <c r="N40" s="10" t="str">
        <f t="shared" si="0"/>
        <v>NiftyCapital GoodsIndex</v>
      </c>
    </row>
    <row r="41" spans="1:14" x14ac:dyDescent="0.35">
      <c r="A41" s="5">
        <v>58</v>
      </c>
      <c r="B41" s="6" t="s">
        <v>176</v>
      </c>
      <c r="C41" s="6" t="s">
        <v>177</v>
      </c>
      <c r="D41" s="6" t="s">
        <v>178</v>
      </c>
      <c r="E41" s="7">
        <v>152292.45707504801</v>
      </c>
      <c r="F41" s="6" t="s">
        <v>178</v>
      </c>
      <c r="G41" s="7">
        <v>152306.1784</v>
      </c>
      <c r="H41" s="8" t="s">
        <v>7</v>
      </c>
      <c r="I41" s="8" t="s">
        <v>783</v>
      </c>
      <c r="J41" s="8" t="s">
        <v>789</v>
      </c>
      <c r="K41" s="8" t="s">
        <v>790</v>
      </c>
      <c r="L41" s="8" t="s">
        <v>791</v>
      </c>
      <c r="M41" s="10" t="s">
        <v>829</v>
      </c>
      <c r="N41" s="10" t="str">
        <f t="shared" si="0"/>
        <v>NiftyChemicalsIndex</v>
      </c>
    </row>
    <row r="42" spans="1:14" x14ac:dyDescent="0.35">
      <c r="A42" s="5">
        <v>73</v>
      </c>
      <c r="B42" s="6" t="s">
        <v>221</v>
      </c>
      <c r="C42" s="6" t="s">
        <v>222</v>
      </c>
      <c r="D42" s="6" t="s">
        <v>223</v>
      </c>
      <c r="E42" s="7">
        <v>127236.78439305401</v>
      </c>
      <c r="F42" s="6" t="s">
        <v>223</v>
      </c>
      <c r="G42" s="7">
        <v>127241.22629999999</v>
      </c>
      <c r="H42" s="8" t="s">
        <v>7</v>
      </c>
      <c r="I42" s="8" t="s">
        <v>783</v>
      </c>
      <c r="J42" s="8" t="s">
        <v>789</v>
      </c>
      <c r="K42" s="8" t="s">
        <v>807</v>
      </c>
      <c r="L42" s="8" t="s">
        <v>791</v>
      </c>
      <c r="M42" s="10" t="s">
        <v>829</v>
      </c>
      <c r="N42" s="10" t="str">
        <f t="shared" si="0"/>
        <v>NiftyChemicalsIndex</v>
      </c>
    </row>
    <row r="43" spans="1:14" x14ac:dyDescent="0.35">
      <c r="A43" s="5">
        <v>129</v>
      </c>
      <c r="B43" s="6" t="s">
        <v>391</v>
      </c>
      <c r="C43" s="6" t="s">
        <v>392</v>
      </c>
      <c r="D43" s="6" t="s">
        <v>393</v>
      </c>
      <c r="E43" s="7">
        <v>88539.707360854009</v>
      </c>
      <c r="F43" s="6" t="s">
        <v>393</v>
      </c>
      <c r="G43" s="7">
        <v>88555.481400000004</v>
      </c>
      <c r="H43" s="8" t="s">
        <v>308</v>
      </c>
      <c r="I43" s="8" t="s">
        <v>783</v>
      </c>
      <c r="J43" s="8" t="s">
        <v>789</v>
      </c>
      <c r="K43" s="8" t="s">
        <v>802</v>
      </c>
      <c r="L43" s="8" t="s">
        <v>793</v>
      </c>
      <c r="M43" s="10" t="s">
        <v>830</v>
      </c>
      <c r="N43" s="10" t="str">
        <f t="shared" si="0"/>
        <v>NiftyChemicalsIndex</v>
      </c>
    </row>
    <row r="44" spans="1:14" x14ac:dyDescent="0.35">
      <c r="A44" s="5">
        <v>153</v>
      </c>
      <c r="B44" s="6" t="s">
        <v>464</v>
      </c>
      <c r="C44" s="6" t="s">
        <v>465</v>
      </c>
      <c r="D44" s="6" t="s">
        <v>466</v>
      </c>
      <c r="E44" s="7">
        <v>67915.151417854999</v>
      </c>
      <c r="F44" s="6" t="s">
        <v>466</v>
      </c>
      <c r="G44" s="7">
        <v>67892.5478</v>
      </c>
      <c r="H44" s="8" t="s">
        <v>308</v>
      </c>
      <c r="I44" s="8" t="s">
        <v>783</v>
      </c>
      <c r="J44" s="8" t="s">
        <v>789</v>
      </c>
      <c r="K44" s="8" t="s">
        <v>804</v>
      </c>
      <c r="L44" s="8" t="s">
        <v>796</v>
      </c>
      <c r="M44" s="10" t="s">
        <v>830</v>
      </c>
      <c r="N44" s="10" t="str">
        <f t="shared" si="0"/>
        <v>NiftyChemicalsIndex</v>
      </c>
    </row>
    <row r="45" spans="1:14" x14ac:dyDescent="0.35">
      <c r="A45" s="5">
        <v>176</v>
      </c>
      <c r="B45" s="6" t="s">
        <v>533</v>
      </c>
      <c r="C45" s="6" t="s">
        <v>534</v>
      </c>
      <c r="D45" s="6" t="s">
        <v>535</v>
      </c>
      <c r="E45" s="7">
        <v>59603.699657126999</v>
      </c>
      <c r="F45" s="6" t="s">
        <v>535</v>
      </c>
      <c r="G45" s="7">
        <v>59608.270199999999</v>
      </c>
      <c r="H45" s="8" t="s">
        <v>308</v>
      </c>
      <c r="I45" s="8" t="s">
        <v>783</v>
      </c>
      <c r="J45" s="8" t="s">
        <v>794</v>
      </c>
      <c r="K45" s="8" t="s">
        <v>808</v>
      </c>
      <c r="L45" s="8" t="s">
        <v>796</v>
      </c>
      <c r="M45" s="10" t="s">
        <v>830</v>
      </c>
      <c r="N45" s="10" t="str">
        <f t="shared" si="0"/>
        <v>NiftyChemicalsIndex</v>
      </c>
    </row>
    <row r="46" spans="1:14" x14ac:dyDescent="0.35">
      <c r="A46" s="5">
        <v>178</v>
      </c>
      <c r="B46" s="6" t="s">
        <v>539</v>
      </c>
      <c r="C46" s="6" t="s">
        <v>540</v>
      </c>
      <c r="D46" s="6" t="s">
        <v>541</v>
      </c>
      <c r="E46" s="7">
        <v>60521.709704403002</v>
      </c>
      <c r="F46" s="6" t="s">
        <v>541</v>
      </c>
      <c r="G46" s="7">
        <v>56883.310799999999</v>
      </c>
      <c r="H46" s="8" t="s">
        <v>308</v>
      </c>
      <c r="I46" s="8" t="s">
        <v>783</v>
      </c>
      <c r="J46" s="8" t="s">
        <v>789</v>
      </c>
      <c r="K46" s="8" t="s">
        <v>790</v>
      </c>
      <c r="L46" s="8" t="s">
        <v>791</v>
      </c>
      <c r="M46" s="10" t="s">
        <v>830</v>
      </c>
      <c r="N46" s="10" t="str">
        <f t="shared" si="0"/>
        <v>NiftyChemicalsIndex</v>
      </c>
    </row>
    <row r="47" spans="1:14" x14ac:dyDescent="0.35">
      <c r="A47" s="5">
        <v>185</v>
      </c>
      <c r="B47" s="6" t="s">
        <v>560</v>
      </c>
      <c r="C47" s="6" t="s">
        <v>561</v>
      </c>
      <c r="D47" s="6" t="s">
        <v>562</v>
      </c>
      <c r="E47" s="7">
        <v>55993.660582303004</v>
      </c>
      <c r="F47" s="6" t="s">
        <v>562</v>
      </c>
      <c r="G47" s="7">
        <v>55996.592600000004</v>
      </c>
      <c r="H47" s="8" t="s">
        <v>308</v>
      </c>
      <c r="I47" s="8" t="s">
        <v>783</v>
      </c>
      <c r="J47" s="8" t="s">
        <v>789</v>
      </c>
      <c r="K47" s="8" t="s">
        <v>803</v>
      </c>
      <c r="L47" s="8" t="s">
        <v>793</v>
      </c>
      <c r="M47" s="10" t="s">
        <v>830</v>
      </c>
      <c r="N47" s="10" t="str">
        <f t="shared" si="0"/>
        <v>NiftyChemicalsIndex</v>
      </c>
    </row>
    <row r="48" spans="1:14" x14ac:dyDescent="0.35">
      <c r="A48" s="5">
        <v>194</v>
      </c>
      <c r="B48" s="6" t="s">
        <v>587</v>
      </c>
      <c r="C48" s="6" t="s">
        <v>588</v>
      </c>
      <c r="D48" s="6" t="s">
        <v>589</v>
      </c>
      <c r="E48" s="7">
        <v>53245.888139465002</v>
      </c>
      <c r="F48" s="6" t="s">
        <v>589</v>
      </c>
      <c r="G48" s="7">
        <v>53250.351999999999</v>
      </c>
      <c r="H48" s="8" t="s">
        <v>308</v>
      </c>
      <c r="I48" s="8" t="s">
        <v>783</v>
      </c>
      <c r="J48" s="8" t="s">
        <v>789</v>
      </c>
      <c r="K48" s="8" t="s">
        <v>798</v>
      </c>
      <c r="L48" s="8" t="s">
        <v>799</v>
      </c>
      <c r="M48" s="10" t="s">
        <v>830</v>
      </c>
      <c r="N48" s="10" t="str">
        <f t="shared" si="0"/>
        <v>NiftyChemicalsIndex</v>
      </c>
    </row>
    <row r="49" spans="1:14" x14ac:dyDescent="0.35">
      <c r="A49" s="5">
        <v>230</v>
      </c>
      <c r="B49" s="6" t="s">
        <v>696</v>
      </c>
      <c r="C49" s="6" t="s">
        <v>697</v>
      </c>
      <c r="D49" s="6" t="s">
        <v>698</v>
      </c>
      <c r="E49" s="7">
        <v>39087.820880952</v>
      </c>
      <c r="F49" s="6" t="s">
        <v>698</v>
      </c>
      <c r="G49" s="7">
        <v>39103.679400000001</v>
      </c>
      <c r="H49" s="8" t="s">
        <v>308</v>
      </c>
      <c r="I49" s="8" t="s">
        <v>783</v>
      </c>
      <c r="J49" s="8" t="s">
        <v>789</v>
      </c>
      <c r="K49" s="8" t="s">
        <v>800</v>
      </c>
      <c r="L49" s="8" t="s">
        <v>793</v>
      </c>
      <c r="M49" s="10" t="s">
        <v>830</v>
      </c>
      <c r="N49" s="10" t="str">
        <f t="shared" si="0"/>
        <v>NiftyChemicalsIndex</v>
      </c>
    </row>
    <row r="50" spans="1:14" x14ac:dyDescent="0.35">
      <c r="A50" s="5">
        <v>11</v>
      </c>
      <c r="B50" s="6" t="s">
        <v>35</v>
      </c>
      <c r="C50" s="6" t="s">
        <v>36</v>
      </c>
      <c r="D50" s="6" t="s">
        <v>37</v>
      </c>
      <c r="E50" s="7">
        <v>518705.10559522902</v>
      </c>
      <c r="F50" s="6" t="s">
        <v>37</v>
      </c>
      <c r="G50" s="7">
        <v>518763.27590000001</v>
      </c>
      <c r="H50" s="8" t="s">
        <v>7</v>
      </c>
      <c r="I50" s="8" t="s">
        <v>771</v>
      </c>
      <c r="J50" s="8" t="s">
        <v>789</v>
      </c>
      <c r="K50" s="8" t="s">
        <v>790</v>
      </c>
      <c r="L50" s="8" t="s">
        <v>791</v>
      </c>
      <c r="M50" s="10" t="s">
        <v>827</v>
      </c>
      <c r="N50" s="10" t="str">
        <f t="shared" si="0"/>
        <v>NiftyConstructionIndex</v>
      </c>
    </row>
    <row r="51" spans="1:14" x14ac:dyDescent="0.35">
      <c r="A51" s="5">
        <v>145</v>
      </c>
      <c r="B51" s="6" t="s">
        <v>440</v>
      </c>
      <c r="C51" s="6" t="s">
        <v>441</v>
      </c>
      <c r="D51" s="6" t="s">
        <v>442</v>
      </c>
      <c r="E51" s="7">
        <v>70914.015767785997</v>
      </c>
      <c r="F51" s="6" t="s">
        <v>442</v>
      </c>
      <c r="G51" s="7">
        <v>70911.037200000006</v>
      </c>
      <c r="H51" s="8" t="s">
        <v>308</v>
      </c>
      <c r="I51" s="8" t="s">
        <v>771</v>
      </c>
      <c r="J51" s="8" t="s">
        <v>794</v>
      </c>
      <c r="K51" s="8" t="s">
        <v>792</v>
      </c>
      <c r="L51" s="8" t="s">
        <v>793</v>
      </c>
      <c r="M51" s="10" t="s">
        <v>830</v>
      </c>
      <c r="N51" s="10" t="str">
        <f t="shared" si="0"/>
        <v>NiftyConstructionIndex</v>
      </c>
    </row>
    <row r="52" spans="1:14" x14ac:dyDescent="0.35">
      <c r="A52" s="5">
        <v>19</v>
      </c>
      <c r="B52" s="6" t="s">
        <v>59</v>
      </c>
      <c r="C52" s="6" t="s">
        <v>60</v>
      </c>
      <c r="D52" s="6" t="s">
        <v>61</v>
      </c>
      <c r="E52" s="7">
        <v>358018.84508717997</v>
      </c>
      <c r="F52" s="6" t="s">
        <v>61</v>
      </c>
      <c r="G52" s="7">
        <v>358045.48310000001</v>
      </c>
      <c r="H52" s="8" t="s">
        <v>7</v>
      </c>
      <c r="I52" s="8" t="s">
        <v>774</v>
      </c>
      <c r="J52" s="8" t="s">
        <v>789</v>
      </c>
      <c r="K52" s="8" t="s">
        <v>790</v>
      </c>
      <c r="L52" s="8" t="s">
        <v>791</v>
      </c>
      <c r="M52" s="10" t="s">
        <v>827</v>
      </c>
      <c r="N52" s="10" t="str">
        <f t="shared" si="0"/>
        <v>NiftyConstruction MaterialsIndex</v>
      </c>
    </row>
    <row r="53" spans="1:14" x14ac:dyDescent="0.35">
      <c r="A53" s="5">
        <v>63</v>
      </c>
      <c r="B53" s="6" t="s">
        <v>191</v>
      </c>
      <c r="C53" s="6" t="s">
        <v>192</v>
      </c>
      <c r="D53" s="6" t="s">
        <v>193</v>
      </c>
      <c r="E53" s="7">
        <v>140891.13549718502</v>
      </c>
      <c r="F53" s="6" t="s">
        <v>193</v>
      </c>
      <c r="G53" s="7">
        <v>140858.1029</v>
      </c>
      <c r="H53" s="8" t="s">
        <v>7</v>
      </c>
      <c r="I53" s="8" t="s">
        <v>774</v>
      </c>
      <c r="J53" s="8" t="s">
        <v>789</v>
      </c>
      <c r="K53" s="8" t="s">
        <v>790</v>
      </c>
      <c r="L53" s="8" t="s">
        <v>791</v>
      </c>
      <c r="M53" s="10" t="s">
        <v>829</v>
      </c>
      <c r="N53" s="10" t="str">
        <f t="shared" si="0"/>
        <v>NiftyConstruction MaterialsIndex</v>
      </c>
    </row>
    <row r="54" spans="1:14" x14ac:dyDescent="0.35">
      <c r="A54" s="5">
        <v>101</v>
      </c>
      <c r="B54" s="6" t="s">
        <v>305</v>
      </c>
      <c r="C54" s="6" t="s">
        <v>306</v>
      </c>
      <c r="D54" s="6" t="s">
        <v>307</v>
      </c>
      <c r="E54" s="7">
        <v>104508.84587172901</v>
      </c>
      <c r="F54" s="6" t="s">
        <v>307</v>
      </c>
      <c r="G54" s="7">
        <v>104522.777</v>
      </c>
      <c r="H54" s="8" t="s">
        <v>308</v>
      </c>
      <c r="I54" s="8" t="s">
        <v>774</v>
      </c>
      <c r="J54" s="8" t="s">
        <v>789</v>
      </c>
      <c r="K54" s="8" t="s">
        <v>798</v>
      </c>
      <c r="L54" s="8" t="s">
        <v>799</v>
      </c>
      <c r="M54" s="10" t="s">
        <v>830</v>
      </c>
      <c r="N54" s="10" t="str">
        <f t="shared" si="0"/>
        <v>NiftyConstruction MaterialsIndex</v>
      </c>
    </row>
    <row r="55" spans="1:14" x14ac:dyDescent="0.35">
      <c r="A55" s="5">
        <v>202</v>
      </c>
      <c r="B55" s="6" t="s">
        <v>611</v>
      </c>
      <c r="C55" s="6" t="s">
        <v>612</v>
      </c>
      <c r="D55" s="6" t="s">
        <v>613</v>
      </c>
      <c r="E55" s="7">
        <v>48678.991771310997</v>
      </c>
      <c r="F55" s="6" t="s">
        <v>613</v>
      </c>
      <c r="G55" s="7">
        <v>48693.163999999997</v>
      </c>
      <c r="H55" s="8" t="s">
        <v>308</v>
      </c>
      <c r="I55" s="8" t="s">
        <v>774</v>
      </c>
      <c r="J55" s="8" t="s">
        <v>789</v>
      </c>
      <c r="K55" s="8" t="s">
        <v>816</v>
      </c>
      <c r="L55" s="8" t="s">
        <v>793</v>
      </c>
      <c r="M55" s="10" t="s">
        <v>830</v>
      </c>
      <c r="N55" s="10" t="str">
        <f t="shared" si="0"/>
        <v>NiftyConstruction MaterialsIndex</v>
      </c>
    </row>
    <row r="56" spans="1:14" x14ac:dyDescent="0.35">
      <c r="A56" s="5">
        <v>225</v>
      </c>
      <c r="B56" s="6" t="s">
        <v>681</v>
      </c>
      <c r="C56" s="6" t="s">
        <v>682</v>
      </c>
      <c r="D56" s="6" t="s">
        <v>683</v>
      </c>
      <c r="E56" s="7">
        <v>41112.526728580997</v>
      </c>
      <c r="F56" s="6" t="s">
        <v>683</v>
      </c>
      <c r="G56" s="7">
        <v>41110.636200000001</v>
      </c>
      <c r="H56" s="8" t="s">
        <v>308</v>
      </c>
      <c r="I56" s="8" t="s">
        <v>774</v>
      </c>
      <c r="J56" s="8" t="s">
        <v>789</v>
      </c>
      <c r="K56" s="8" t="s">
        <v>792</v>
      </c>
      <c r="L56" s="8" t="s">
        <v>793</v>
      </c>
      <c r="M56" s="10" t="s">
        <v>830</v>
      </c>
      <c r="N56" s="10" t="str">
        <f t="shared" si="0"/>
        <v>NiftyConstruction MaterialsIndex</v>
      </c>
    </row>
    <row r="57" spans="1:14" x14ac:dyDescent="0.35">
      <c r="A57" s="5">
        <v>21</v>
      </c>
      <c r="B57" s="6" t="s">
        <v>65</v>
      </c>
      <c r="C57" s="6" t="s">
        <v>66</v>
      </c>
      <c r="D57" s="6" t="s">
        <v>67</v>
      </c>
      <c r="E57" s="7">
        <v>323564.129206029</v>
      </c>
      <c r="F57" s="6" t="s">
        <v>67</v>
      </c>
      <c r="G57" s="7">
        <v>323613.06310000003</v>
      </c>
      <c r="H57" s="8" t="s">
        <v>7</v>
      </c>
      <c r="I57" s="8" t="s">
        <v>775</v>
      </c>
      <c r="J57" s="8" t="s">
        <v>789</v>
      </c>
      <c r="K57" s="8" t="s">
        <v>795</v>
      </c>
      <c r="L57" s="8" t="s">
        <v>796</v>
      </c>
      <c r="M57" s="10" t="s">
        <v>827</v>
      </c>
      <c r="N57" s="10" t="str">
        <f t="shared" si="0"/>
        <v>NiftyConsumer DurablesIndex</v>
      </c>
    </row>
    <row r="58" spans="1:14" x14ac:dyDescent="0.35">
      <c r="A58" s="5">
        <v>34</v>
      </c>
      <c r="B58" s="6" t="s">
        <v>104</v>
      </c>
      <c r="C58" s="6" t="s">
        <v>105</v>
      </c>
      <c r="D58" s="6" t="s">
        <v>106</v>
      </c>
      <c r="E58" s="7">
        <v>246424.11658591201</v>
      </c>
      <c r="F58" s="6" t="s">
        <v>106</v>
      </c>
      <c r="G58" s="7">
        <v>246425.22039999999</v>
      </c>
      <c r="H58" s="8" t="s">
        <v>7</v>
      </c>
      <c r="I58" s="8" t="s">
        <v>775</v>
      </c>
      <c r="J58" s="8" t="s">
        <v>789</v>
      </c>
      <c r="K58" s="8" t="s">
        <v>790</v>
      </c>
      <c r="L58" s="8" t="s">
        <v>791</v>
      </c>
      <c r="M58" s="10" t="s">
        <v>827</v>
      </c>
      <c r="N58" s="10" t="str">
        <f t="shared" si="0"/>
        <v>NiftyConsumer DurablesIndex</v>
      </c>
    </row>
    <row r="59" spans="1:14" x14ac:dyDescent="0.35">
      <c r="A59" s="5">
        <v>93</v>
      </c>
      <c r="B59" s="6" t="s">
        <v>281</v>
      </c>
      <c r="C59" s="6" t="s">
        <v>282</v>
      </c>
      <c r="D59" s="6" t="s">
        <v>283</v>
      </c>
      <c r="E59" s="7">
        <v>109777.984656751</v>
      </c>
      <c r="F59" s="6" t="s">
        <v>283</v>
      </c>
      <c r="G59" s="7">
        <v>109776.2249</v>
      </c>
      <c r="H59" s="8" t="s">
        <v>7</v>
      </c>
      <c r="I59" s="8" t="s">
        <v>775</v>
      </c>
      <c r="J59" s="8" t="s">
        <v>789</v>
      </c>
      <c r="K59" s="8" t="s">
        <v>809</v>
      </c>
      <c r="L59" s="8" t="s">
        <v>793</v>
      </c>
      <c r="M59" s="10" t="s">
        <v>830</v>
      </c>
      <c r="N59" s="10" t="str">
        <f t="shared" si="0"/>
        <v>NiftyConsumer DurablesIndex</v>
      </c>
    </row>
    <row r="60" spans="1:14" x14ac:dyDescent="0.35">
      <c r="A60" s="5">
        <v>115</v>
      </c>
      <c r="B60" s="6" t="s">
        <v>349</v>
      </c>
      <c r="C60" s="6" t="s">
        <v>350</v>
      </c>
      <c r="D60" s="6" t="s">
        <v>351</v>
      </c>
      <c r="E60" s="7">
        <v>95876.486290645989</v>
      </c>
      <c r="F60" s="6" t="s">
        <v>351</v>
      </c>
      <c r="G60" s="7">
        <v>95826.202000000005</v>
      </c>
      <c r="H60" s="8" t="s">
        <v>308</v>
      </c>
      <c r="I60" s="8" t="s">
        <v>775</v>
      </c>
      <c r="J60" s="8" t="s">
        <v>789</v>
      </c>
      <c r="K60" s="8" t="s">
        <v>800</v>
      </c>
      <c r="L60" s="8" t="s">
        <v>793</v>
      </c>
      <c r="M60" s="10" t="s">
        <v>830</v>
      </c>
      <c r="N60" s="10" t="str">
        <f t="shared" si="0"/>
        <v>NiftyConsumer DurablesIndex</v>
      </c>
    </row>
    <row r="61" spans="1:14" x14ac:dyDescent="0.35">
      <c r="A61" s="5">
        <v>117</v>
      </c>
      <c r="B61" s="6" t="s">
        <v>355</v>
      </c>
      <c r="C61" s="6" t="s">
        <v>356</v>
      </c>
      <c r="D61" s="6" t="s">
        <v>357</v>
      </c>
      <c r="E61" s="7">
        <v>93918.187781493005</v>
      </c>
      <c r="F61" s="6" t="s">
        <v>357</v>
      </c>
      <c r="G61" s="7">
        <v>93920.584700000007</v>
      </c>
      <c r="H61" s="8" t="s">
        <v>308</v>
      </c>
      <c r="I61" s="8" t="s">
        <v>775</v>
      </c>
      <c r="J61" s="8" t="s">
        <v>789</v>
      </c>
      <c r="K61" s="8" t="s">
        <v>800</v>
      </c>
      <c r="L61" s="8" t="s">
        <v>793</v>
      </c>
      <c r="M61" s="10" t="s">
        <v>830</v>
      </c>
      <c r="N61" s="10" t="str">
        <f t="shared" si="0"/>
        <v>NiftyConsumer DurablesIndex</v>
      </c>
    </row>
    <row r="62" spans="1:14" x14ac:dyDescent="0.35">
      <c r="A62" s="5">
        <v>162</v>
      </c>
      <c r="B62" s="6" t="s">
        <v>491</v>
      </c>
      <c r="C62" s="6" t="s">
        <v>492</v>
      </c>
      <c r="D62" s="6" t="s">
        <v>493</v>
      </c>
      <c r="E62" s="7">
        <v>64186.037857156007</v>
      </c>
      <c r="F62" s="6" t="s">
        <v>493</v>
      </c>
      <c r="G62" s="7">
        <v>64192.792399999998</v>
      </c>
      <c r="H62" s="8" t="s">
        <v>308</v>
      </c>
      <c r="I62" s="8" t="s">
        <v>775</v>
      </c>
      <c r="J62" s="8" t="s">
        <v>789</v>
      </c>
      <c r="K62" s="8" t="s">
        <v>798</v>
      </c>
      <c r="L62" s="8" t="s">
        <v>799</v>
      </c>
      <c r="M62" s="10" t="s">
        <v>830</v>
      </c>
      <c r="N62" s="10" t="str">
        <f t="shared" si="0"/>
        <v>NiftyConsumer DurablesIndex</v>
      </c>
    </row>
    <row r="63" spans="1:14" x14ac:dyDescent="0.35">
      <c r="A63" s="5">
        <v>193</v>
      </c>
      <c r="B63" s="6" t="s">
        <v>584</v>
      </c>
      <c r="C63" s="6" t="s">
        <v>585</v>
      </c>
      <c r="D63" s="6" t="s">
        <v>586</v>
      </c>
      <c r="E63" s="7">
        <v>53383.729757478002</v>
      </c>
      <c r="F63" s="6" t="s">
        <v>586</v>
      </c>
      <c r="G63" s="7">
        <v>53386.4519</v>
      </c>
      <c r="H63" s="8" t="s">
        <v>308</v>
      </c>
      <c r="I63" s="8" t="s">
        <v>775</v>
      </c>
      <c r="J63" s="8" t="s">
        <v>789</v>
      </c>
      <c r="K63" s="8" t="s">
        <v>815</v>
      </c>
      <c r="L63" s="8" t="s">
        <v>796</v>
      </c>
      <c r="M63" s="10" t="s">
        <v>830</v>
      </c>
      <c r="N63" s="10" t="str">
        <f t="shared" si="0"/>
        <v>NiftyConsumer DurablesIndex</v>
      </c>
    </row>
    <row r="64" spans="1:14" x14ac:dyDescent="0.35">
      <c r="A64" s="5">
        <v>213</v>
      </c>
      <c r="B64" s="6" t="s">
        <v>645</v>
      </c>
      <c r="C64" s="6" t="s">
        <v>646</v>
      </c>
      <c r="D64" s="6" t="s">
        <v>647</v>
      </c>
      <c r="E64" s="7">
        <v>45322.254483465003</v>
      </c>
      <c r="F64" s="6" t="s">
        <v>647</v>
      </c>
      <c r="G64" s="7">
        <v>45331.918400000002</v>
      </c>
      <c r="H64" s="8" t="s">
        <v>308</v>
      </c>
      <c r="I64" s="8" t="s">
        <v>775</v>
      </c>
      <c r="J64" s="8" t="s">
        <v>789</v>
      </c>
      <c r="K64" s="8" t="s">
        <v>790</v>
      </c>
      <c r="L64" s="8" t="s">
        <v>791</v>
      </c>
      <c r="M64" s="10" t="s">
        <v>830</v>
      </c>
      <c r="N64" s="10" t="str">
        <f t="shared" si="0"/>
        <v>NiftyConsumer DurablesIndex</v>
      </c>
    </row>
    <row r="65" spans="1:14" x14ac:dyDescent="0.35">
      <c r="A65" s="5">
        <v>227</v>
      </c>
      <c r="B65" s="6" t="s">
        <v>687</v>
      </c>
      <c r="C65" s="6" t="s">
        <v>688</v>
      </c>
      <c r="D65" s="6" t="s">
        <v>689</v>
      </c>
      <c r="E65" s="7">
        <v>40788.863089787999</v>
      </c>
      <c r="F65" s="6" t="s">
        <v>689</v>
      </c>
      <c r="G65" s="7">
        <v>39866.085400000004</v>
      </c>
      <c r="H65" s="8" t="s">
        <v>308</v>
      </c>
      <c r="I65" s="8" t="s">
        <v>775</v>
      </c>
      <c r="J65" s="8" t="s">
        <v>789</v>
      </c>
      <c r="K65" s="8" t="s">
        <v>820</v>
      </c>
      <c r="L65" s="8" t="s">
        <v>796</v>
      </c>
      <c r="M65" s="10" t="s">
        <v>830</v>
      </c>
      <c r="N65" s="10" t="str">
        <f t="shared" si="0"/>
        <v>NiftyConsumer DurablesIndex</v>
      </c>
    </row>
    <row r="66" spans="1:14" x14ac:dyDescent="0.35">
      <c r="A66" s="5">
        <v>237</v>
      </c>
      <c r="B66" s="6" t="s">
        <v>717</v>
      </c>
      <c r="C66" s="6" t="s">
        <v>718</v>
      </c>
      <c r="D66" s="6" t="s">
        <v>719</v>
      </c>
      <c r="E66" s="7">
        <v>37851.406021360999</v>
      </c>
      <c r="F66" s="6" t="s">
        <v>719</v>
      </c>
      <c r="G66" s="7">
        <v>37850.9899</v>
      </c>
      <c r="H66" s="8" t="s">
        <v>308</v>
      </c>
      <c r="I66" s="8" t="s">
        <v>775</v>
      </c>
      <c r="J66" s="8" t="s">
        <v>789</v>
      </c>
      <c r="K66" s="8" t="s">
        <v>790</v>
      </c>
      <c r="L66" s="8" t="s">
        <v>791</v>
      </c>
      <c r="M66" s="10" t="s">
        <v>830</v>
      </c>
      <c r="N66" s="10" t="str">
        <f t="shared" si="0"/>
        <v>NiftyConsumer DurablesIndex</v>
      </c>
    </row>
    <row r="67" spans="1:14" x14ac:dyDescent="0.35">
      <c r="A67" s="5">
        <v>29</v>
      </c>
      <c r="B67" s="6" t="s">
        <v>89</v>
      </c>
      <c r="C67" s="6" t="s">
        <v>90</v>
      </c>
      <c r="D67" s="6" t="s">
        <v>91</v>
      </c>
      <c r="E67" s="7">
        <v>275699.87486245699</v>
      </c>
      <c r="F67" s="6" t="s">
        <v>91</v>
      </c>
      <c r="G67" s="7">
        <v>275707.95740000001</v>
      </c>
      <c r="H67" s="8" t="s">
        <v>7</v>
      </c>
      <c r="I67" s="8" t="s">
        <v>780</v>
      </c>
      <c r="J67" s="8" t="s">
        <v>789</v>
      </c>
      <c r="K67" s="8" t="s">
        <v>790</v>
      </c>
      <c r="L67" s="8" t="s">
        <v>791</v>
      </c>
      <c r="M67" s="10" t="s">
        <v>827</v>
      </c>
      <c r="N67" s="10" t="str">
        <f t="shared" ref="N67:N130" si="1">"Nifty" &amp;I67&amp; "Index"</f>
        <v>NiftyConsumer ServicesIndex</v>
      </c>
    </row>
    <row r="68" spans="1:14" x14ac:dyDescent="0.35">
      <c r="A68" s="5">
        <v>49</v>
      </c>
      <c r="B68" s="6" t="s">
        <v>149</v>
      </c>
      <c r="C68" s="6" t="s">
        <v>150</v>
      </c>
      <c r="D68" s="6" t="s">
        <v>151</v>
      </c>
      <c r="E68" s="7">
        <v>173112.363682208</v>
      </c>
      <c r="F68" s="6" t="s">
        <v>151</v>
      </c>
      <c r="G68" s="7">
        <v>173133.7635</v>
      </c>
      <c r="H68" s="8" t="s">
        <v>7</v>
      </c>
      <c r="I68" s="8" t="s">
        <v>780</v>
      </c>
      <c r="J68" s="8" t="s">
        <v>789</v>
      </c>
      <c r="K68" s="8" t="s">
        <v>790</v>
      </c>
      <c r="L68" s="8" t="s">
        <v>791</v>
      </c>
      <c r="M68" s="10" t="s">
        <v>829</v>
      </c>
      <c r="N68" s="10" t="str">
        <f t="shared" si="1"/>
        <v>NiftyConsumer ServicesIndex</v>
      </c>
    </row>
    <row r="69" spans="1:14" x14ac:dyDescent="0.35">
      <c r="A69" s="5">
        <v>98</v>
      </c>
      <c r="B69" s="6" t="s">
        <v>296</v>
      </c>
      <c r="C69" s="6" t="s">
        <v>297</v>
      </c>
      <c r="D69" s="6" t="s">
        <v>298</v>
      </c>
      <c r="E69" s="7">
        <v>105952.217564846</v>
      </c>
      <c r="F69" s="6" t="s">
        <v>298</v>
      </c>
      <c r="G69" s="7">
        <v>105954.1946</v>
      </c>
      <c r="H69" s="8" t="s">
        <v>7</v>
      </c>
      <c r="I69" s="8" t="s">
        <v>780</v>
      </c>
      <c r="J69" s="8" t="s">
        <v>789</v>
      </c>
      <c r="K69" s="8" t="s">
        <v>790</v>
      </c>
      <c r="L69" s="8" t="s">
        <v>791</v>
      </c>
      <c r="M69" s="10" t="s">
        <v>830</v>
      </c>
      <c r="N69" s="10" t="str">
        <f t="shared" si="1"/>
        <v>NiftyConsumer ServicesIndex</v>
      </c>
    </row>
    <row r="70" spans="1:14" x14ac:dyDescent="0.35">
      <c r="A70" s="5">
        <v>104</v>
      </c>
      <c r="B70" s="6" t="s">
        <v>315</v>
      </c>
      <c r="C70" s="6" t="s">
        <v>316</v>
      </c>
      <c r="D70" s="6" t="s">
        <v>317</v>
      </c>
      <c r="E70" s="7">
        <v>103022.25748347399</v>
      </c>
      <c r="F70" s="6" t="s">
        <v>318</v>
      </c>
      <c r="G70" s="7">
        <v>102180.65459999999</v>
      </c>
      <c r="H70" s="8" t="s">
        <v>308</v>
      </c>
      <c r="I70" s="8" t="s">
        <v>780</v>
      </c>
      <c r="J70" s="8" t="s">
        <v>789</v>
      </c>
      <c r="K70" s="8" t="s">
        <v>795</v>
      </c>
      <c r="L70" s="8" t="s">
        <v>796</v>
      </c>
      <c r="M70" s="10" t="s">
        <v>830</v>
      </c>
      <c r="N70" s="10" t="str">
        <f t="shared" si="1"/>
        <v>NiftyConsumer ServicesIndex</v>
      </c>
    </row>
    <row r="71" spans="1:14" x14ac:dyDescent="0.35">
      <c r="A71" s="5">
        <v>114</v>
      </c>
      <c r="B71" s="6" t="s">
        <v>346</v>
      </c>
      <c r="C71" s="6" t="s">
        <v>347</v>
      </c>
      <c r="D71" s="6" t="s">
        <v>348</v>
      </c>
      <c r="E71" s="7">
        <v>95901.88478528001</v>
      </c>
      <c r="F71" s="6" t="s">
        <v>348</v>
      </c>
      <c r="G71" s="7">
        <v>95890.419500000004</v>
      </c>
      <c r="H71" s="8" t="s">
        <v>308</v>
      </c>
      <c r="I71" s="8" t="s">
        <v>780</v>
      </c>
      <c r="J71" s="8" t="s">
        <v>789</v>
      </c>
      <c r="K71" s="8" t="s">
        <v>795</v>
      </c>
      <c r="L71" s="8" t="s">
        <v>796</v>
      </c>
      <c r="M71" s="10" t="s">
        <v>830</v>
      </c>
      <c r="N71" s="10" t="str">
        <f t="shared" si="1"/>
        <v>NiftyConsumer ServicesIndex</v>
      </c>
    </row>
    <row r="72" spans="1:14" x14ac:dyDescent="0.35">
      <c r="A72" s="5">
        <v>128</v>
      </c>
      <c r="B72" s="6" t="s">
        <v>388</v>
      </c>
      <c r="C72" s="6" t="s">
        <v>389</v>
      </c>
      <c r="D72" s="6" t="s">
        <v>390</v>
      </c>
      <c r="E72" s="7">
        <v>88707.762668651005</v>
      </c>
      <c r="F72" s="6" t="s">
        <v>390</v>
      </c>
      <c r="G72" s="7">
        <v>88709.244399999996</v>
      </c>
      <c r="H72" s="8" t="s">
        <v>308</v>
      </c>
      <c r="I72" s="8" t="s">
        <v>780</v>
      </c>
      <c r="J72" s="8" t="s">
        <v>789</v>
      </c>
      <c r="K72" s="8" t="s">
        <v>800</v>
      </c>
      <c r="L72" s="8" t="s">
        <v>793</v>
      </c>
      <c r="M72" s="10" t="s">
        <v>830</v>
      </c>
      <c r="N72" s="10" t="str">
        <f t="shared" si="1"/>
        <v>NiftyConsumer ServicesIndex</v>
      </c>
    </row>
    <row r="73" spans="1:14" x14ac:dyDescent="0.35">
      <c r="A73" s="5">
        <v>132</v>
      </c>
      <c r="B73" s="6" t="s">
        <v>400</v>
      </c>
      <c r="C73" s="6" t="s">
        <v>401</v>
      </c>
      <c r="D73" s="6" t="s">
        <v>402</v>
      </c>
      <c r="E73" s="7">
        <v>86452.033058999994</v>
      </c>
      <c r="F73" s="6" t="s">
        <v>402</v>
      </c>
      <c r="G73" s="7">
        <v>86428.263900000005</v>
      </c>
      <c r="H73" s="8" t="s">
        <v>308</v>
      </c>
      <c r="I73" s="8" t="s">
        <v>780</v>
      </c>
      <c r="J73" s="8" t="s">
        <v>789</v>
      </c>
      <c r="K73" s="8" t="s">
        <v>795</v>
      </c>
      <c r="L73" s="8" t="s">
        <v>796</v>
      </c>
      <c r="M73" s="10" t="s">
        <v>830</v>
      </c>
      <c r="N73" s="10" t="str">
        <f t="shared" si="1"/>
        <v>NiftyConsumer ServicesIndex</v>
      </c>
    </row>
    <row r="74" spans="1:14" x14ac:dyDescent="0.35">
      <c r="A74" s="5">
        <v>135</v>
      </c>
      <c r="B74" s="6" t="s">
        <v>409</v>
      </c>
      <c r="C74" s="6" t="s">
        <v>410</v>
      </c>
      <c r="D74" s="6" t="s">
        <v>411</v>
      </c>
      <c r="E74" s="7">
        <v>83049.351710171992</v>
      </c>
      <c r="F74" s="6" t="s">
        <v>411</v>
      </c>
      <c r="G74" s="7">
        <v>82915.543399999995</v>
      </c>
      <c r="H74" s="8" t="s">
        <v>308</v>
      </c>
      <c r="I74" s="8" t="s">
        <v>780</v>
      </c>
      <c r="J74" s="8" t="s">
        <v>789</v>
      </c>
      <c r="K74" s="8" t="s">
        <v>802</v>
      </c>
      <c r="L74" s="8" t="s">
        <v>793</v>
      </c>
      <c r="M74" s="10" t="s">
        <v>830</v>
      </c>
      <c r="N74" s="10" t="str">
        <f t="shared" si="1"/>
        <v>NiftyConsumer ServicesIndex</v>
      </c>
    </row>
    <row r="75" spans="1:14" x14ac:dyDescent="0.35">
      <c r="A75" s="5">
        <v>140</v>
      </c>
      <c r="B75" s="6" t="s">
        <v>424</v>
      </c>
      <c r="C75" s="6" t="s">
        <v>425</v>
      </c>
      <c r="D75" s="6" t="s">
        <v>426</v>
      </c>
      <c r="E75" s="7">
        <v>76908.323995674</v>
      </c>
      <c r="F75" s="6" t="s">
        <v>426</v>
      </c>
      <c r="G75" s="7">
        <v>76862.919800000003</v>
      </c>
      <c r="H75" s="8" t="s">
        <v>308</v>
      </c>
      <c r="I75" s="8" t="s">
        <v>780</v>
      </c>
      <c r="J75" s="8" t="s">
        <v>789</v>
      </c>
      <c r="K75" s="8" t="s">
        <v>800</v>
      </c>
      <c r="L75" s="8" t="s">
        <v>793</v>
      </c>
      <c r="M75" s="10" t="s">
        <v>830</v>
      </c>
      <c r="N75" s="10" t="str">
        <f t="shared" si="1"/>
        <v>NiftyConsumer ServicesIndex</v>
      </c>
    </row>
    <row r="76" spans="1:14" x14ac:dyDescent="0.35">
      <c r="A76" s="5">
        <v>143</v>
      </c>
      <c r="B76" s="6" t="s">
        <v>433</v>
      </c>
      <c r="C76" s="6" t="s">
        <v>434</v>
      </c>
      <c r="D76" s="6" t="s">
        <v>435</v>
      </c>
      <c r="E76" s="7">
        <v>73287.715514477997</v>
      </c>
      <c r="F76" s="6" t="s">
        <v>435</v>
      </c>
      <c r="G76" s="7">
        <v>73312.566399999996</v>
      </c>
      <c r="H76" s="8" t="s">
        <v>308</v>
      </c>
      <c r="I76" s="8" t="s">
        <v>780</v>
      </c>
      <c r="J76" s="8" t="s">
        <v>789</v>
      </c>
      <c r="K76" s="8" t="s">
        <v>802</v>
      </c>
      <c r="L76" s="8" t="s">
        <v>793</v>
      </c>
      <c r="M76" s="10" t="s">
        <v>830</v>
      </c>
      <c r="N76" s="10" t="str">
        <f t="shared" si="1"/>
        <v>NiftyConsumer ServicesIndex</v>
      </c>
    </row>
    <row r="77" spans="1:14" x14ac:dyDescent="0.35">
      <c r="A77" s="5">
        <v>150</v>
      </c>
      <c r="B77" s="6" t="s">
        <v>455</v>
      </c>
      <c r="C77" s="6" t="s">
        <v>456</v>
      </c>
      <c r="D77" s="6" t="s">
        <v>457</v>
      </c>
      <c r="E77" s="7">
        <v>68636.168238735001</v>
      </c>
      <c r="F77" s="6" t="s">
        <v>457</v>
      </c>
      <c r="G77" s="7">
        <v>68606.349100000007</v>
      </c>
      <c r="H77" s="8" t="s">
        <v>308</v>
      </c>
      <c r="I77" s="8" t="s">
        <v>780</v>
      </c>
      <c r="J77" s="8" t="s">
        <v>789</v>
      </c>
      <c r="K77" s="8" t="s">
        <v>790</v>
      </c>
      <c r="L77" s="8" t="s">
        <v>791</v>
      </c>
      <c r="M77" s="10" t="s">
        <v>830</v>
      </c>
      <c r="N77" s="10" t="str">
        <f t="shared" si="1"/>
        <v>NiftyConsumer ServicesIndex</v>
      </c>
    </row>
    <row r="78" spans="1:14" x14ac:dyDescent="0.35">
      <c r="A78" s="5">
        <v>156</v>
      </c>
      <c r="B78" s="6" t="s">
        <v>473</v>
      </c>
      <c r="C78" s="6" t="s">
        <v>474</v>
      </c>
      <c r="D78" s="6" t="s">
        <v>475</v>
      </c>
      <c r="E78" s="7">
        <v>66115.142485838005</v>
      </c>
      <c r="F78" s="6" t="s">
        <v>475</v>
      </c>
      <c r="G78" s="7">
        <v>66089.659599999999</v>
      </c>
      <c r="H78" s="8" t="s">
        <v>308</v>
      </c>
      <c r="I78" s="8" t="s">
        <v>780</v>
      </c>
      <c r="J78" s="8" t="s">
        <v>789</v>
      </c>
      <c r="K78" s="8" t="s">
        <v>802</v>
      </c>
      <c r="L78" s="8" t="s">
        <v>793</v>
      </c>
      <c r="M78" s="10" t="s">
        <v>830</v>
      </c>
      <c r="N78" s="10" t="str">
        <f t="shared" si="1"/>
        <v>NiftyConsumer ServicesIndex</v>
      </c>
    </row>
    <row r="79" spans="1:14" x14ac:dyDescent="0.35">
      <c r="A79" s="5">
        <v>182</v>
      </c>
      <c r="B79" s="6" t="s">
        <v>551</v>
      </c>
      <c r="C79" s="6" t="s">
        <v>552</v>
      </c>
      <c r="D79" s="6" t="s">
        <v>553</v>
      </c>
      <c r="E79" s="7">
        <v>57368.634920634999</v>
      </c>
      <c r="F79" s="6" t="s">
        <v>553</v>
      </c>
      <c r="G79" s="7">
        <v>57370.952400000002</v>
      </c>
      <c r="H79" s="8" t="s">
        <v>308</v>
      </c>
      <c r="I79" s="8" t="s">
        <v>780</v>
      </c>
      <c r="J79" s="8" t="s">
        <v>794</v>
      </c>
      <c r="K79" s="8" t="s">
        <v>792</v>
      </c>
      <c r="L79" s="8" t="s">
        <v>793</v>
      </c>
      <c r="M79" s="10" t="s">
        <v>830</v>
      </c>
      <c r="N79" s="10" t="str">
        <f t="shared" si="1"/>
        <v>NiftyConsumer ServicesIndex</v>
      </c>
    </row>
    <row r="80" spans="1:14" x14ac:dyDescent="0.35">
      <c r="A80" s="5">
        <v>208</v>
      </c>
      <c r="B80" s="6" t="s">
        <v>629</v>
      </c>
      <c r="C80" s="6" t="s">
        <v>630</v>
      </c>
      <c r="D80" s="6" t="s">
        <v>631</v>
      </c>
      <c r="E80" s="7">
        <v>46322.212951797999</v>
      </c>
      <c r="F80" s="6" t="s">
        <v>631</v>
      </c>
      <c r="G80" s="7">
        <v>46313.6613</v>
      </c>
      <c r="H80" s="8" t="s">
        <v>308</v>
      </c>
      <c r="I80" s="8" t="s">
        <v>780</v>
      </c>
      <c r="J80" s="8" t="s">
        <v>789</v>
      </c>
      <c r="K80" s="8" t="s">
        <v>798</v>
      </c>
      <c r="L80" s="8" t="s">
        <v>799</v>
      </c>
      <c r="M80" s="10" t="s">
        <v>830</v>
      </c>
      <c r="N80" s="10" t="str">
        <f t="shared" si="1"/>
        <v>NiftyConsumer ServicesIndex</v>
      </c>
    </row>
    <row r="81" spans="1:14" x14ac:dyDescent="0.35">
      <c r="A81" s="5">
        <v>226</v>
      </c>
      <c r="B81" s="6" t="s">
        <v>684</v>
      </c>
      <c r="C81" s="6" t="s">
        <v>685</v>
      </c>
      <c r="D81" s="6" t="s">
        <v>686</v>
      </c>
      <c r="E81" s="7">
        <v>40943.761240667001</v>
      </c>
      <c r="F81" s="6" t="s">
        <v>686</v>
      </c>
      <c r="G81" s="7">
        <v>40946.0916</v>
      </c>
      <c r="H81" s="8" t="s">
        <v>308</v>
      </c>
      <c r="I81" s="8" t="s">
        <v>780</v>
      </c>
      <c r="J81" s="8" t="s">
        <v>789</v>
      </c>
      <c r="K81" s="8" t="s">
        <v>800</v>
      </c>
      <c r="L81" s="8" t="s">
        <v>793</v>
      </c>
      <c r="M81" s="10" t="s">
        <v>830</v>
      </c>
      <c r="N81" s="10" t="str">
        <f t="shared" si="1"/>
        <v>NiftyConsumer ServicesIndex</v>
      </c>
    </row>
    <row r="82" spans="1:14" x14ac:dyDescent="0.35">
      <c r="A82" s="5">
        <v>235</v>
      </c>
      <c r="B82" s="6" t="s">
        <v>711</v>
      </c>
      <c r="C82" s="6" t="s">
        <v>712</v>
      </c>
      <c r="D82" s="6" t="s">
        <v>713</v>
      </c>
      <c r="E82" s="7">
        <v>38490.999809273999</v>
      </c>
      <c r="F82" s="6" t="s">
        <v>713</v>
      </c>
      <c r="G82" s="7">
        <v>38478.546300000002</v>
      </c>
      <c r="H82" s="8" t="s">
        <v>308</v>
      </c>
      <c r="I82" s="8" t="s">
        <v>780</v>
      </c>
      <c r="J82" s="8" t="s">
        <v>789</v>
      </c>
      <c r="K82" s="8" t="s">
        <v>800</v>
      </c>
      <c r="L82" s="8" t="s">
        <v>793</v>
      </c>
      <c r="M82" s="10" t="s">
        <v>830</v>
      </c>
      <c r="N82" s="10" t="str">
        <f t="shared" si="1"/>
        <v>NiftyConsumer ServicesIndex</v>
      </c>
    </row>
    <row r="83" spans="1:14" x14ac:dyDescent="0.35">
      <c r="A83" s="5">
        <v>240</v>
      </c>
      <c r="B83" s="6" t="s">
        <v>726</v>
      </c>
      <c r="C83" s="6" t="s">
        <v>727</v>
      </c>
      <c r="D83" s="6" t="s">
        <v>728</v>
      </c>
      <c r="E83" s="7">
        <v>37682.431791721996</v>
      </c>
      <c r="F83" s="6" t="s">
        <v>728</v>
      </c>
      <c r="G83" s="7">
        <v>37680.959199999998</v>
      </c>
      <c r="H83" s="8" t="s">
        <v>308</v>
      </c>
      <c r="I83" s="8" t="s">
        <v>786</v>
      </c>
      <c r="J83" s="8" t="s">
        <v>789</v>
      </c>
      <c r="K83" s="8" t="s">
        <v>790</v>
      </c>
      <c r="L83" s="8" t="s">
        <v>791</v>
      </c>
      <c r="M83" s="10" t="s">
        <v>830</v>
      </c>
      <c r="N83" s="10" t="str">
        <f t="shared" si="1"/>
        <v>NiftyDiversifiedIndex</v>
      </c>
    </row>
    <row r="84" spans="1:14" x14ac:dyDescent="0.35">
      <c r="A84" s="5">
        <v>245</v>
      </c>
      <c r="B84" s="6" t="s">
        <v>741</v>
      </c>
      <c r="C84" s="6" t="s">
        <v>742</v>
      </c>
      <c r="D84" s="6" t="s">
        <v>743</v>
      </c>
      <c r="E84" s="7">
        <v>35768.384462296002</v>
      </c>
      <c r="F84" s="6" t="s">
        <v>743</v>
      </c>
      <c r="G84" s="7">
        <v>35782.198499999999</v>
      </c>
      <c r="H84" s="8" t="s">
        <v>308</v>
      </c>
      <c r="I84" s="8" t="s">
        <v>786</v>
      </c>
      <c r="J84" s="8" t="s">
        <v>789</v>
      </c>
      <c r="K84" s="8" t="s">
        <v>795</v>
      </c>
      <c r="L84" s="8" t="s">
        <v>796</v>
      </c>
      <c r="M84" s="10" t="s">
        <v>830</v>
      </c>
      <c r="N84" s="10" t="str">
        <f t="shared" si="1"/>
        <v>NiftyDiversifiedIndex</v>
      </c>
    </row>
    <row r="85" spans="1:14" x14ac:dyDescent="0.35">
      <c r="A85" s="5">
        <v>10</v>
      </c>
      <c r="B85" s="6" t="s">
        <v>32</v>
      </c>
      <c r="C85" s="6" t="s">
        <v>33</v>
      </c>
      <c r="D85" s="6" t="s">
        <v>34</v>
      </c>
      <c r="E85" s="7">
        <v>538817.40550119197</v>
      </c>
      <c r="F85" s="6" t="s">
        <v>34</v>
      </c>
      <c r="G85" s="7">
        <v>538863.09</v>
      </c>
      <c r="H85" s="8" t="s">
        <v>7</v>
      </c>
      <c r="I85" s="8" t="s">
        <v>770</v>
      </c>
      <c r="J85" s="8" t="s">
        <v>789</v>
      </c>
      <c r="K85" s="8" t="s">
        <v>790</v>
      </c>
      <c r="L85" s="8" t="s">
        <v>791</v>
      </c>
      <c r="M85" s="10" t="s">
        <v>827</v>
      </c>
      <c r="N85" s="10" t="str">
        <f t="shared" si="1"/>
        <v>NiftyFast Moving Consumer GoodsIndex</v>
      </c>
    </row>
    <row r="86" spans="1:14" x14ac:dyDescent="0.35">
      <c r="A86" s="5">
        <v>12</v>
      </c>
      <c r="B86" s="6" t="s">
        <v>38</v>
      </c>
      <c r="C86" s="6" t="s">
        <v>39</v>
      </c>
      <c r="D86" s="6" t="s">
        <v>40</v>
      </c>
      <c r="E86" s="7">
        <v>511810.193571029</v>
      </c>
      <c r="F86" s="6" t="s">
        <v>40</v>
      </c>
      <c r="G86" s="7">
        <v>511626.18699999998</v>
      </c>
      <c r="H86" s="8" t="s">
        <v>7</v>
      </c>
      <c r="I86" s="8" t="s">
        <v>770</v>
      </c>
      <c r="J86" s="8" t="s">
        <v>789</v>
      </c>
      <c r="K86" s="8" t="s">
        <v>798</v>
      </c>
      <c r="L86" s="8" t="s">
        <v>799</v>
      </c>
      <c r="M86" s="10" t="s">
        <v>827</v>
      </c>
      <c r="N86" s="10" t="str">
        <f t="shared" si="1"/>
        <v>NiftyFast Moving Consumer GoodsIndex</v>
      </c>
    </row>
    <row r="87" spans="1:14" x14ac:dyDescent="0.35">
      <c r="A87" s="5">
        <v>37</v>
      </c>
      <c r="B87" s="6" t="s">
        <v>113</v>
      </c>
      <c r="C87" s="6" t="s">
        <v>114</v>
      </c>
      <c r="D87" s="6" t="s">
        <v>115</v>
      </c>
      <c r="E87" s="7">
        <v>233639.46031741</v>
      </c>
      <c r="F87" s="6" t="s">
        <v>115</v>
      </c>
      <c r="G87" s="7">
        <v>233662.0338</v>
      </c>
      <c r="H87" s="8" t="s">
        <v>7</v>
      </c>
      <c r="I87" s="8" t="s">
        <v>770</v>
      </c>
      <c r="J87" s="8" t="s">
        <v>789</v>
      </c>
      <c r="K87" s="8" t="s">
        <v>802</v>
      </c>
      <c r="L87" s="8" t="s">
        <v>793</v>
      </c>
      <c r="M87" s="10" t="s">
        <v>827</v>
      </c>
      <c r="N87" s="10" t="str">
        <f t="shared" si="1"/>
        <v>NiftyFast Moving Consumer GoodsIndex</v>
      </c>
    </row>
    <row r="88" spans="1:14" x14ac:dyDescent="0.35">
      <c r="A88" s="5">
        <v>56</v>
      </c>
      <c r="B88" s="6" t="s">
        <v>170</v>
      </c>
      <c r="C88" s="6" t="s">
        <v>171</v>
      </c>
      <c r="D88" s="6" t="s">
        <v>172</v>
      </c>
      <c r="E88" s="7">
        <v>160499.83665997902</v>
      </c>
      <c r="F88" s="6" t="s">
        <v>172</v>
      </c>
      <c r="G88" s="7">
        <v>160506.28150000001</v>
      </c>
      <c r="H88" s="8" t="s">
        <v>7</v>
      </c>
      <c r="I88" s="8" t="s">
        <v>770</v>
      </c>
      <c r="J88" s="8" t="s">
        <v>789</v>
      </c>
      <c r="K88" s="8" t="s">
        <v>802</v>
      </c>
      <c r="L88" s="8" t="s">
        <v>793</v>
      </c>
      <c r="M88" s="10" t="s">
        <v>829</v>
      </c>
      <c r="N88" s="10" t="str">
        <f t="shared" si="1"/>
        <v>NiftyFast Moving Consumer GoodsIndex</v>
      </c>
    </row>
    <row r="89" spans="1:14" x14ac:dyDescent="0.35">
      <c r="A89" s="5">
        <v>62</v>
      </c>
      <c r="B89" s="6" t="s">
        <v>188</v>
      </c>
      <c r="C89" s="6" t="s">
        <v>189</v>
      </c>
      <c r="D89" s="6" t="s">
        <v>190</v>
      </c>
      <c r="E89" s="7">
        <v>141269.72395901999</v>
      </c>
      <c r="F89" s="6" t="s">
        <v>190</v>
      </c>
      <c r="G89" s="7">
        <v>141277.57130000001</v>
      </c>
      <c r="H89" s="8" t="s">
        <v>7</v>
      </c>
      <c r="I89" s="8" t="s">
        <v>770</v>
      </c>
      <c r="J89" s="8" t="s">
        <v>789</v>
      </c>
      <c r="K89" s="8" t="s">
        <v>795</v>
      </c>
      <c r="L89" s="8" t="s">
        <v>796</v>
      </c>
      <c r="M89" s="10" t="s">
        <v>829</v>
      </c>
      <c r="N89" s="10" t="str">
        <f t="shared" si="1"/>
        <v>NiftyFast Moving Consumer GoodsIndex</v>
      </c>
    </row>
    <row r="90" spans="1:14" x14ac:dyDescent="0.35">
      <c r="A90" s="5">
        <v>78</v>
      </c>
      <c r="B90" s="6" t="s">
        <v>236</v>
      </c>
      <c r="C90" s="6" t="s">
        <v>237</v>
      </c>
      <c r="D90" s="6" t="s">
        <v>238</v>
      </c>
      <c r="E90" s="7">
        <v>121715.490823178</v>
      </c>
      <c r="F90" s="6" t="s">
        <v>238</v>
      </c>
      <c r="G90" s="7">
        <v>121701.3196</v>
      </c>
      <c r="H90" s="8" t="s">
        <v>7</v>
      </c>
      <c r="I90" s="8" t="s">
        <v>770</v>
      </c>
      <c r="J90" s="8" t="s">
        <v>789</v>
      </c>
      <c r="K90" s="8" t="s">
        <v>790</v>
      </c>
      <c r="L90" s="8" t="s">
        <v>791</v>
      </c>
      <c r="M90" s="10" t="s">
        <v>829</v>
      </c>
      <c r="N90" s="10" t="str">
        <f t="shared" si="1"/>
        <v>NiftyFast Moving Consumer GoodsIndex</v>
      </c>
    </row>
    <row r="91" spans="1:14" x14ac:dyDescent="0.35">
      <c r="A91" s="5">
        <v>91</v>
      </c>
      <c r="B91" s="6" t="s">
        <v>275</v>
      </c>
      <c r="C91" s="6" t="s">
        <v>276</v>
      </c>
      <c r="D91" s="6" t="s">
        <v>277</v>
      </c>
      <c r="E91" s="7">
        <v>111179.84023113501</v>
      </c>
      <c r="F91" s="6" t="s">
        <v>277</v>
      </c>
      <c r="G91" s="7">
        <v>111203.7659</v>
      </c>
      <c r="H91" s="8" t="s">
        <v>7</v>
      </c>
      <c r="I91" s="8" t="s">
        <v>770</v>
      </c>
      <c r="J91" s="8" t="s">
        <v>789</v>
      </c>
      <c r="K91" s="8" t="s">
        <v>790</v>
      </c>
      <c r="L91" s="8" t="s">
        <v>791</v>
      </c>
      <c r="M91" s="10" t="s">
        <v>829</v>
      </c>
      <c r="N91" s="10" t="str">
        <f t="shared" si="1"/>
        <v>NiftyFast Moving Consumer GoodsIndex</v>
      </c>
    </row>
    <row r="92" spans="1:14" x14ac:dyDescent="0.35">
      <c r="A92" s="5">
        <v>109</v>
      </c>
      <c r="B92" s="6" t="s">
        <v>331</v>
      </c>
      <c r="C92" s="6" t="s">
        <v>332</v>
      </c>
      <c r="D92" s="6" t="s">
        <v>333</v>
      </c>
      <c r="E92" s="7">
        <v>99542.726649349002</v>
      </c>
      <c r="F92" s="6" t="s">
        <v>333</v>
      </c>
      <c r="G92" s="7">
        <v>99548.528099999996</v>
      </c>
      <c r="H92" s="8" t="s">
        <v>308</v>
      </c>
      <c r="I92" s="8" t="s">
        <v>770</v>
      </c>
      <c r="J92" s="8" t="s">
        <v>789</v>
      </c>
      <c r="K92" s="8" t="s">
        <v>795</v>
      </c>
      <c r="L92" s="8" t="s">
        <v>796</v>
      </c>
      <c r="M92" s="10" t="s">
        <v>830</v>
      </c>
      <c r="N92" s="10" t="str">
        <f t="shared" si="1"/>
        <v>NiftyFast Moving Consumer GoodsIndex</v>
      </c>
    </row>
    <row r="93" spans="1:14" x14ac:dyDescent="0.35">
      <c r="A93" s="5">
        <v>118</v>
      </c>
      <c r="B93" s="6" t="s">
        <v>358</v>
      </c>
      <c r="C93" s="6" t="s">
        <v>359</v>
      </c>
      <c r="D93" s="6" t="s">
        <v>360</v>
      </c>
      <c r="E93" s="7">
        <v>93869.344417346991</v>
      </c>
      <c r="F93" s="6" t="s">
        <v>360</v>
      </c>
      <c r="G93" s="7">
        <v>93828.482499999998</v>
      </c>
      <c r="H93" s="8" t="s">
        <v>308</v>
      </c>
      <c r="I93" s="8" t="s">
        <v>770</v>
      </c>
      <c r="J93" s="8" t="s">
        <v>789</v>
      </c>
      <c r="K93" s="8" t="s">
        <v>790</v>
      </c>
      <c r="L93" s="8" t="s">
        <v>791</v>
      </c>
      <c r="M93" s="10" t="s">
        <v>830</v>
      </c>
      <c r="N93" s="10" t="str">
        <f t="shared" si="1"/>
        <v>NiftyFast Moving Consumer GoodsIndex</v>
      </c>
    </row>
    <row r="94" spans="1:14" x14ac:dyDescent="0.35">
      <c r="A94" s="5">
        <v>122</v>
      </c>
      <c r="B94" s="6" t="s">
        <v>370</v>
      </c>
      <c r="C94" s="6" t="s">
        <v>371</v>
      </c>
      <c r="D94" s="6" t="s">
        <v>372</v>
      </c>
      <c r="E94" s="7">
        <v>90962.011242284992</v>
      </c>
      <c r="F94" s="6" t="s">
        <v>372</v>
      </c>
      <c r="G94" s="7">
        <v>90966.515899999999</v>
      </c>
      <c r="H94" s="8" t="s">
        <v>308</v>
      </c>
      <c r="I94" s="8" t="s">
        <v>770</v>
      </c>
      <c r="J94" s="8" t="s">
        <v>789</v>
      </c>
      <c r="K94" s="8" t="s">
        <v>792</v>
      </c>
      <c r="L94" s="8" t="s">
        <v>793</v>
      </c>
      <c r="M94" s="10" t="s">
        <v>830</v>
      </c>
      <c r="N94" s="10" t="str">
        <f t="shared" si="1"/>
        <v>NiftyFast Moving Consumer GoodsIndex</v>
      </c>
    </row>
    <row r="95" spans="1:14" x14ac:dyDescent="0.35">
      <c r="A95" s="5">
        <v>164</v>
      </c>
      <c r="B95" s="6" t="s">
        <v>497</v>
      </c>
      <c r="C95" s="6" t="s">
        <v>498</v>
      </c>
      <c r="D95" s="6" t="s">
        <v>499</v>
      </c>
      <c r="E95" s="7">
        <v>63746.914120854002</v>
      </c>
      <c r="F95" s="6" t="s">
        <v>499</v>
      </c>
      <c r="G95" s="7">
        <v>63679.351499999997</v>
      </c>
      <c r="H95" s="8" t="s">
        <v>308</v>
      </c>
      <c r="I95" s="8" t="s">
        <v>770</v>
      </c>
      <c r="J95" s="8" t="s">
        <v>789</v>
      </c>
      <c r="K95" s="8" t="s">
        <v>812</v>
      </c>
      <c r="L95" s="8" t="s">
        <v>791</v>
      </c>
      <c r="M95" s="10" t="s">
        <v>830</v>
      </c>
      <c r="N95" s="10" t="str">
        <f t="shared" si="1"/>
        <v>NiftyFast Moving Consumer GoodsIndex</v>
      </c>
    </row>
    <row r="96" spans="1:14" x14ac:dyDescent="0.35">
      <c r="A96" s="5">
        <v>173</v>
      </c>
      <c r="B96" s="6" t="s">
        <v>524</v>
      </c>
      <c r="C96" s="6" t="s">
        <v>525</v>
      </c>
      <c r="D96" s="6" t="s">
        <v>526</v>
      </c>
      <c r="E96" s="7">
        <v>61273.117902972997</v>
      </c>
      <c r="F96" s="6" t="s">
        <v>526</v>
      </c>
      <c r="G96" s="7">
        <v>61274.564200000001</v>
      </c>
      <c r="H96" s="8" t="s">
        <v>308</v>
      </c>
      <c r="I96" s="8" t="s">
        <v>770</v>
      </c>
      <c r="J96" s="8" t="s">
        <v>789</v>
      </c>
      <c r="K96" s="8" t="s">
        <v>790</v>
      </c>
      <c r="L96" s="8" t="s">
        <v>791</v>
      </c>
      <c r="M96" s="10" t="s">
        <v>830</v>
      </c>
      <c r="N96" s="10" t="str">
        <f t="shared" si="1"/>
        <v>NiftyFast Moving Consumer GoodsIndex</v>
      </c>
    </row>
    <row r="97" spans="1:14" x14ac:dyDescent="0.35">
      <c r="A97" s="5">
        <v>201</v>
      </c>
      <c r="B97" s="6" t="s">
        <v>608</v>
      </c>
      <c r="C97" s="6" t="s">
        <v>609</v>
      </c>
      <c r="D97" s="6" t="s">
        <v>610</v>
      </c>
      <c r="E97" s="7">
        <v>49052.931369967999</v>
      </c>
      <c r="F97" s="6" t="s">
        <v>610</v>
      </c>
      <c r="G97" s="7">
        <v>49053.775199999996</v>
      </c>
      <c r="H97" s="8" t="s">
        <v>308</v>
      </c>
      <c r="I97" s="8" t="s">
        <v>770</v>
      </c>
      <c r="J97" s="8" t="s">
        <v>789</v>
      </c>
      <c r="K97" s="8" t="s">
        <v>792</v>
      </c>
      <c r="L97" s="8" t="s">
        <v>793</v>
      </c>
      <c r="M97" s="10" t="s">
        <v>830</v>
      </c>
      <c r="N97" s="10" t="str">
        <f t="shared" si="1"/>
        <v>NiftyFast Moving Consumer GoodsIndex</v>
      </c>
    </row>
    <row r="98" spans="1:14" x14ac:dyDescent="0.35">
      <c r="A98" s="5">
        <v>203</v>
      </c>
      <c r="B98" s="6" t="s">
        <v>614</v>
      </c>
      <c r="C98" s="6" t="s">
        <v>615</v>
      </c>
      <c r="D98" s="6" t="s">
        <v>616</v>
      </c>
      <c r="E98" s="7">
        <v>48008.871793088001</v>
      </c>
      <c r="F98" s="6" t="s">
        <v>616</v>
      </c>
      <c r="G98" s="7">
        <v>48008.5046</v>
      </c>
      <c r="H98" s="8" t="s">
        <v>308</v>
      </c>
      <c r="I98" s="8" t="s">
        <v>770</v>
      </c>
      <c r="J98" s="8" t="s">
        <v>789</v>
      </c>
      <c r="K98" s="8" t="s">
        <v>795</v>
      </c>
      <c r="L98" s="8" t="s">
        <v>796</v>
      </c>
      <c r="M98" s="10" t="s">
        <v>830</v>
      </c>
      <c r="N98" s="10" t="str">
        <f t="shared" si="1"/>
        <v>NiftyFast Moving Consumer GoodsIndex</v>
      </c>
    </row>
    <row r="99" spans="1:14" x14ac:dyDescent="0.35">
      <c r="A99" s="5">
        <v>218</v>
      </c>
      <c r="B99" s="6" t="s">
        <v>660</v>
      </c>
      <c r="C99" s="6" t="s">
        <v>661</v>
      </c>
      <c r="D99" s="6" t="s">
        <v>662</v>
      </c>
      <c r="E99" s="7">
        <v>43172.861319964002</v>
      </c>
      <c r="F99" s="6" t="s">
        <v>662</v>
      </c>
      <c r="G99" s="7">
        <v>43182.001900000003</v>
      </c>
      <c r="H99" s="8" t="s">
        <v>308</v>
      </c>
      <c r="I99" s="8" t="s">
        <v>770</v>
      </c>
      <c r="J99" s="8" t="s">
        <v>789</v>
      </c>
      <c r="K99" s="8" t="s">
        <v>790</v>
      </c>
      <c r="L99" s="8" t="s">
        <v>791</v>
      </c>
      <c r="M99" s="10" t="s">
        <v>830</v>
      </c>
      <c r="N99" s="10" t="str">
        <f t="shared" si="1"/>
        <v>NiftyFast Moving Consumer GoodsIndex</v>
      </c>
    </row>
    <row r="100" spans="1:14" x14ac:dyDescent="0.35">
      <c r="A100" s="5">
        <v>229</v>
      </c>
      <c r="B100" s="6" t="s">
        <v>693</v>
      </c>
      <c r="C100" s="6" t="s">
        <v>694</v>
      </c>
      <c r="D100" s="6" t="s">
        <v>695</v>
      </c>
      <c r="E100" s="7">
        <v>40110.831329845001</v>
      </c>
      <c r="F100" s="6" t="s">
        <v>695</v>
      </c>
      <c r="G100" s="7">
        <v>40108.025399999999</v>
      </c>
      <c r="H100" s="8" t="s">
        <v>308</v>
      </c>
      <c r="I100" s="8" t="s">
        <v>770</v>
      </c>
      <c r="J100" s="8" t="s">
        <v>789</v>
      </c>
      <c r="K100" s="8" t="s">
        <v>792</v>
      </c>
      <c r="L100" s="8" t="s">
        <v>793</v>
      </c>
      <c r="M100" s="10" t="s">
        <v>830</v>
      </c>
      <c r="N100" s="10" t="str">
        <f t="shared" si="1"/>
        <v>NiftyFast Moving Consumer GoodsIndex</v>
      </c>
    </row>
    <row r="101" spans="1:14" x14ac:dyDescent="0.35">
      <c r="A101" s="5">
        <v>214</v>
      </c>
      <c r="B101" s="6" t="s">
        <v>648</v>
      </c>
      <c r="C101" s="6" t="s">
        <v>649</v>
      </c>
      <c r="D101" s="6" t="s">
        <v>650</v>
      </c>
      <c r="E101" s="7">
        <v>45092.606088940003</v>
      </c>
      <c r="F101" s="6" t="s">
        <v>6</v>
      </c>
      <c r="G101" s="7" t="s">
        <v>6</v>
      </c>
      <c r="H101" s="8" t="s">
        <v>308</v>
      </c>
      <c r="I101" s="8" t="s">
        <v>767</v>
      </c>
      <c r="J101" s="8" t="s">
        <v>789</v>
      </c>
      <c r="K101" s="8" t="s">
        <v>790</v>
      </c>
      <c r="L101" s="8" t="s">
        <v>791</v>
      </c>
      <c r="M101" s="12" t="s">
        <v>831</v>
      </c>
      <c r="N101" s="10" t="str">
        <f t="shared" si="1"/>
        <v>NiftyFinancial ServicesIndex</v>
      </c>
    </row>
    <row r="102" spans="1:14" x14ac:dyDescent="0.35">
      <c r="A102" s="5">
        <v>2</v>
      </c>
      <c r="B102" s="6" t="s">
        <v>8</v>
      </c>
      <c r="C102" s="6" t="s">
        <v>9</v>
      </c>
      <c r="D102" s="6" t="s">
        <v>10</v>
      </c>
      <c r="E102" s="7">
        <v>1516760.9777625401</v>
      </c>
      <c r="F102" s="6" t="s">
        <v>10</v>
      </c>
      <c r="G102" s="7">
        <v>1515580.9044999999</v>
      </c>
      <c r="H102" s="8" t="s">
        <v>7</v>
      </c>
      <c r="I102" s="8" t="s">
        <v>767</v>
      </c>
      <c r="J102" s="8" t="s">
        <v>789</v>
      </c>
      <c r="K102" s="8" t="s">
        <v>790</v>
      </c>
      <c r="L102" s="8" t="s">
        <v>791</v>
      </c>
      <c r="M102" s="10" t="s">
        <v>827</v>
      </c>
      <c r="N102" s="10" t="str">
        <f t="shared" si="1"/>
        <v>NiftyFinancial ServicesIndex</v>
      </c>
    </row>
    <row r="103" spans="1:14" x14ac:dyDescent="0.35">
      <c r="A103" s="5">
        <v>5</v>
      </c>
      <c r="B103" s="6" t="s">
        <v>17</v>
      </c>
      <c r="C103" s="6" t="s">
        <v>18</v>
      </c>
      <c r="D103" s="6" t="s">
        <v>19</v>
      </c>
      <c r="E103" s="7">
        <v>999123.08025275904</v>
      </c>
      <c r="F103" s="6" t="s">
        <v>19</v>
      </c>
      <c r="G103" s="7">
        <v>998630.63769999996</v>
      </c>
      <c r="H103" s="8" t="s">
        <v>7</v>
      </c>
      <c r="I103" s="8" t="s">
        <v>767</v>
      </c>
      <c r="J103" s="8" t="s">
        <v>789</v>
      </c>
      <c r="K103" s="8" t="s">
        <v>790</v>
      </c>
      <c r="L103" s="8" t="s">
        <v>791</v>
      </c>
      <c r="M103" s="10" t="s">
        <v>827</v>
      </c>
      <c r="N103" s="10" t="str">
        <f t="shared" si="1"/>
        <v>NiftyFinancial ServicesIndex</v>
      </c>
    </row>
    <row r="104" spans="1:14" x14ac:dyDescent="0.35">
      <c r="A104" s="5">
        <v>6</v>
      </c>
      <c r="B104" s="6" t="s">
        <v>20</v>
      </c>
      <c r="C104" s="6" t="s">
        <v>21</v>
      </c>
      <c r="D104" s="6" t="s">
        <v>22</v>
      </c>
      <c r="E104" s="7">
        <v>809938.33150701597</v>
      </c>
      <c r="F104" s="6" t="s">
        <v>22</v>
      </c>
      <c r="G104" s="7">
        <v>800557.85309999995</v>
      </c>
      <c r="H104" s="8" t="s">
        <v>7</v>
      </c>
      <c r="I104" s="8" t="s">
        <v>767</v>
      </c>
      <c r="J104" s="8" t="s">
        <v>794</v>
      </c>
      <c r="K104" s="8" t="s">
        <v>790</v>
      </c>
      <c r="L104" s="8" t="s">
        <v>791</v>
      </c>
      <c r="M104" s="10" t="s">
        <v>827</v>
      </c>
      <c r="N104" s="10" t="str">
        <f t="shared" si="1"/>
        <v>NiftyFinancial ServicesIndex</v>
      </c>
    </row>
    <row r="105" spans="1:14" x14ac:dyDescent="0.35">
      <c r="A105" s="5">
        <v>8</v>
      </c>
      <c r="B105" s="6" t="s">
        <v>26</v>
      </c>
      <c r="C105" s="6" t="s">
        <v>27</v>
      </c>
      <c r="D105" s="6" t="s">
        <v>28</v>
      </c>
      <c r="E105" s="7">
        <v>608134.06521209294</v>
      </c>
      <c r="F105" s="6" t="s">
        <v>28</v>
      </c>
      <c r="G105" s="7">
        <v>607992.94449999998</v>
      </c>
      <c r="H105" s="8" t="s">
        <v>7</v>
      </c>
      <c r="I105" s="8" t="s">
        <v>767</v>
      </c>
      <c r="J105" s="8" t="s">
        <v>789</v>
      </c>
      <c r="K105" s="8" t="s">
        <v>797</v>
      </c>
      <c r="L105" s="8" t="s">
        <v>791</v>
      </c>
      <c r="M105" s="10" t="s">
        <v>827</v>
      </c>
      <c r="N105" s="10" t="str">
        <f t="shared" si="1"/>
        <v>NiftyFinancial ServicesIndex</v>
      </c>
    </row>
    <row r="106" spans="1:14" x14ac:dyDescent="0.35">
      <c r="A106" s="5">
        <v>9</v>
      </c>
      <c r="B106" s="6" t="s">
        <v>29</v>
      </c>
      <c r="C106" s="6" t="s">
        <v>30</v>
      </c>
      <c r="D106" s="6" t="s">
        <v>31</v>
      </c>
      <c r="E106" s="7">
        <v>565211.08126433403</v>
      </c>
      <c r="F106" s="6" t="s">
        <v>31</v>
      </c>
      <c r="G106" s="7">
        <v>565259.02069999999</v>
      </c>
      <c r="H106" s="8" t="s">
        <v>7</v>
      </c>
      <c r="I106" s="8" t="s">
        <v>767</v>
      </c>
      <c r="J106" s="8" t="s">
        <v>794</v>
      </c>
      <c r="K106" s="8" t="s">
        <v>790</v>
      </c>
      <c r="L106" s="8" t="s">
        <v>791</v>
      </c>
      <c r="M106" s="10" t="s">
        <v>827</v>
      </c>
      <c r="N106" s="10" t="str">
        <f t="shared" si="1"/>
        <v>NiftyFinancial ServicesIndex</v>
      </c>
    </row>
    <row r="107" spans="1:14" x14ac:dyDescent="0.35">
      <c r="A107" s="5">
        <v>16</v>
      </c>
      <c r="B107" s="6" t="s">
        <v>50</v>
      </c>
      <c r="C107" s="6" t="s">
        <v>51</v>
      </c>
      <c r="D107" s="6" t="s">
        <v>52</v>
      </c>
      <c r="E107" s="7">
        <v>415421.99094120401</v>
      </c>
      <c r="F107" s="6" t="s">
        <v>52</v>
      </c>
      <c r="G107" s="7">
        <v>415412.26929999999</v>
      </c>
      <c r="H107" s="8" t="s">
        <v>7</v>
      </c>
      <c r="I107" s="8" t="s">
        <v>767</v>
      </c>
      <c r="J107" s="8" t="s">
        <v>789</v>
      </c>
      <c r="K107" s="8" t="s">
        <v>790</v>
      </c>
      <c r="L107" s="8" t="s">
        <v>791</v>
      </c>
      <c r="M107" s="10" t="s">
        <v>827</v>
      </c>
      <c r="N107" s="10" t="str">
        <f t="shared" si="1"/>
        <v>NiftyFinancial ServicesIndex</v>
      </c>
    </row>
    <row r="108" spans="1:14" x14ac:dyDescent="0.35">
      <c r="A108" s="5">
        <v>18</v>
      </c>
      <c r="B108" s="6" t="s">
        <v>56</v>
      </c>
      <c r="C108" s="6" t="s">
        <v>57</v>
      </c>
      <c r="D108" s="6" t="s">
        <v>58</v>
      </c>
      <c r="E108" s="7">
        <v>363130.139674103</v>
      </c>
      <c r="F108" s="6" t="s">
        <v>58</v>
      </c>
      <c r="G108" s="7">
        <v>363033.26620000001</v>
      </c>
      <c r="H108" s="8" t="s">
        <v>7</v>
      </c>
      <c r="I108" s="8" t="s">
        <v>767</v>
      </c>
      <c r="J108" s="8" t="s">
        <v>789</v>
      </c>
      <c r="K108" s="8" t="s">
        <v>790</v>
      </c>
      <c r="L108" s="8" t="s">
        <v>791</v>
      </c>
      <c r="M108" s="10" t="s">
        <v>827</v>
      </c>
      <c r="N108" s="10" t="str">
        <f t="shared" si="1"/>
        <v>NiftyFinancial ServicesIndex</v>
      </c>
    </row>
    <row r="109" spans="1:14" x14ac:dyDescent="0.35">
      <c r="A109" s="5">
        <v>20</v>
      </c>
      <c r="B109" s="6" t="s">
        <v>62</v>
      </c>
      <c r="C109" s="6" t="s">
        <v>63</v>
      </c>
      <c r="D109" s="6" t="s">
        <v>64</v>
      </c>
      <c r="E109" s="7">
        <v>324489.29816695297</v>
      </c>
      <c r="F109" s="6" t="s">
        <v>64</v>
      </c>
      <c r="G109" s="7">
        <v>324505.59330000001</v>
      </c>
      <c r="H109" s="8" t="s">
        <v>7</v>
      </c>
      <c r="I109" s="8" t="s">
        <v>767</v>
      </c>
      <c r="J109" s="8" t="s">
        <v>789</v>
      </c>
      <c r="K109" s="8" t="s">
        <v>797</v>
      </c>
      <c r="L109" s="8" t="s">
        <v>791</v>
      </c>
      <c r="M109" s="10" t="s">
        <v>827</v>
      </c>
      <c r="N109" s="10" t="str">
        <f t="shared" si="1"/>
        <v>NiftyFinancial ServicesIndex</v>
      </c>
    </row>
    <row r="110" spans="1:14" x14ac:dyDescent="0.35">
      <c r="A110" s="5">
        <v>42</v>
      </c>
      <c r="B110" s="6" t="s">
        <v>128</v>
      </c>
      <c r="C110" s="6" t="s">
        <v>129</v>
      </c>
      <c r="D110" s="6" t="s">
        <v>130</v>
      </c>
      <c r="E110" s="7">
        <v>197591.780391904</v>
      </c>
      <c r="F110" s="6" t="s">
        <v>130</v>
      </c>
      <c r="G110" s="7">
        <v>197608.16750000001</v>
      </c>
      <c r="H110" s="8" t="s">
        <v>7</v>
      </c>
      <c r="I110" s="8" t="s">
        <v>767</v>
      </c>
      <c r="J110" s="8" t="s">
        <v>789</v>
      </c>
      <c r="K110" s="8" t="s">
        <v>790</v>
      </c>
      <c r="L110" s="8" t="s">
        <v>791</v>
      </c>
      <c r="M110" s="10" t="s">
        <v>829</v>
      </c>
      <c r="N110" s="10" t="str">
        <f t="shared" si="1"/>
        <v>NiftyFinancial ServicesIndex</v>
      </c>
    </row>
    <row r="111" spans="1:14" x14ac:dyDescent="0.35">
      <c r="A111" s="5">
        <v>45</v>
      </c>
      <c r="B111" s="6" t="s">
        <v>137</v>
      </c>
      <c r="C111" s="6" t="s">
        <v>138</v>
      </c>
      <c r="D111" s="6" t="s">
        <v>139</v>
      </c>
      <c r="E111" s="7">
        <v>189233.49243404</v>
      </c>
      <c r="F111" s="6" t="s">
        <v>139</v>
      </c>
      <c r="G111" s="7">
        <v>189234.14809999999</v>
      </c>
      <c r="H111" s="8" t="s">
        <v>7</v>
      </c>
      <c r="I111" s="8" t="s">
        <v>767</v>
      </c>
      <c r="J111" s="8" t="s">
        <v>789</v>
      </c>
      <c r="K111" s="8" t="s">
        <v>790</v>
      </c>
      <c r="L111" s="8" t="s">
        <v>791</v>
      </c>
      <c r="M111" s="10" t="s">
        <v>829</v>
      </c>
      <c r="N111" s="10" t="str">
        <f t="shared" si="1"/>
        <v>NiftyFinancial ServicesIndex</v>
      </c>
    </row>
    <row r="112" spans="1:14" x14ac:dyDescent="0.35">
      <c r="A112" s="5">
        <v>52</v>
      </c>
      <c r="B112" s="6" t="s">
        <v>158</v>
      </c>
      <c r="C112" s="6" t="s">
        <v>159</v>
      </c>
      <c r="D112" s="6" t="s">
        <v>160</v>
      </c>
      <c r="E112" s="7">
        <v>164675.64897588102</v>
      </c>
      <c r="F112" s="6" t="s">
        <v>160</v>
      </c>
      <c r="G112" s="7">
        <v>164620.82250000001</v>
      </c>
      <c r="H112" s="8" t="s">
        <v>7</v>
      </c>
      <c r="I112" s="8" t="s">
        <v>767</v>
      </c>
      <c r="J112" s="8" t="s">
        <v>789</v>
      </c>
      <c r="K112" s="8" t="s">
        <v>790</v>
      </c>
      <c r="L112" s="8" t="s">
        <v>791</v>
      </c>
      <c r="M112" s="10" t="s">
        <v>829</v>
      </c>
      <c r="N112" s="10" t="str">
        <f t="shared" si="1"/>
        <v>NiftyFinancial ServicesIndex</v>
      </c>
    </row>
    <row r="113" spans="1:14" x14ac:dyDescent="0.35">
      <c r="A113" s="5">
        <v>54</v>
      </c>
      <c r="B113" s="6" t="s">
        <v>164</v>
      </c>
      <c r="C113" s="6" t="s">
        <v>165</v>
      </c>
      <c r="D113" s="6" t="s">
        <v>166</v>
      </c>
      <c r="E113" s="7">
        <v>163095.99206301599</v>
      </c>
      <c r="F113" s="6" t="s">
        <v>166</v>
      </c>
      <c r="G113" s="7">
        <v>163104.0821</v>
      </c>
      <c r="H113" s="8" t="s">
        <v>7</v>
      </c>
      <c r="I113" s="8" t="s">
        <v>767</v>
      </c>
      <c r="J113" s="8" t="s">
        <v>794</v>
      </c>
      <c r="K113" s="8" t="s">
        <v>792</v>
      </c>
      <c r="L113" s="8" t="s">
        <v>793</v>
      </c>
      <c r="M113" s="10" t="s">
        <v>829</v>
      </c>
      <c r="N113" s="10" t="str">
        <f t="shared" si="1"/>
        <v>NiftyFinancial ServicesIndex</v>
      </c>
    </row>
    <row r="114" spans="1:14" x14ac:dyDescent="0.35">
      <c r="A114" s="5">
        <v>61</v>
      </c>
      <c r="B114" s="6" t="s">
        <v>185</v>
      </c>
      <c r="C114" s="6" t="s">
        <v>186</v>
      </c>
      <c r="D114" s="6" t="s">
        <v>187</v>
      </c>
      <c r="E114" s="7">
        <v>141510.22793409499</v>
      </c>
      <c r="F114" s="6" t="s">
        <v>187</v>
      </c>
      <c r="G114" s="7">
        <v>141544.23430000001</v>
      </c>
      <c r="H114" s="8" t="s">
        <v>7</v>
      </c>
      <c r="I114" s="8" t="s">
        <v>767</v>
      </c>
      <c r="J114" s="8" t="s">
        <v>789</v>
      </c>
      <c r="K114" s="8" t="s">
        <v>797</v>
      </c>
      <c r="L114" s="8" t="s">
        <v>791</v>
      </c>
      <c r="M114" s="10" t="s">
        <v>829</v>
      </c>
      <c r="N114" s="10" t="str">
        <f t="shared" si="1"/>
        <v>NiftyFinancial ServicesIndex</v>
      </c>
    </row>
    <row r="115" spans="1:14" x14ac:dyDescent="0.35">
      <c r="A115" s="5">
        <v>64</v>
      </c>
      <c r="B115" s="6" t="s">
        <v>194</v>
      </c>
      <c r="C115" s="6" t="s">
        <v>195</v>
      </c>
      <c r="D115" s="6" t="s">
        <v>196</v>
      </c>
      <c r="E115" s="7">
        <v>138787.15085627101</v>
      </c>
      <c r="F115" s="6" t="s">
        <v>196</v>
      </c>
      <c r="G115" s="7">
        <v>138783.29190000001</v>
      </c>
      <c r="H115" s="8" t="s">
        <v>7</v>
      </c>
      <c r="I115" s="8" t="s">
        <v>767</v>
      </c>
      <c r="J115" s="8" t="s">
        <v>789</v>
      </c>
      <c r="K115" s="8" t="s">
        <v>790</v>
      </c>
      <c r="L115" s="8" t="s">
        <v>791</v>
      </c>
      <c r="M115" s="10" t="s">
        <v>829</v>
      </c>
      <c r="N115" s="10" t="str">
        <f t="shared" si="1"/>
        <v>NiftyFinancial ServicesIndex</v>
      </c>
    </row>
    <row r="116" spans="1:14" x14ac:dyDescent="0.35">
      <c r="A116" s="5">
        <v>66</v>
      </c>
      <c r="B116" s="6" t="s">
        <v>200</v>
      </c>
      <c r="C116" s="6" t="s">
        <v>201</v>
      </c>
      <c r="D116" s="6" t="s">
        <v>202</v>
      </c>
      <c r="E116" s="7">
        <v>135270.72704833202</v>
      </c>
      <c r="F116" s="6" t="s">
        <v>202</v>
      </c>
      <c r="G116" s="7">
        <v>135283.90169999999</v>
      </c>
      <c r="H116" s="8" t="s">
        <v>7</v>
      </c>
      <c r="I116" s="8" t="s">
        <v>767</v>
      </c>
      <c r="J116" s="8" t="s">
        <v>794</v>
      </c>
      <c r="K116" s="8" t="s">
        <v>806</v>
      </c>
      <c r="L116" s="8" t="s">
        <v>791</v>
      </c>
      <c r="M116" s="10" t="s">
        <v>829</v>
      </c>
      <c r="N116" s="10" t="str">
        <f t="shared" si="1"/>
        <v>NiftyFinancial ServicesIndex</v>
      </c>
    </row>
    <row r="117" spans="1:14" x14ac:dyDescent="0.35">
      <c r="A117" s="5">
        <v>67</v>
      </c>
      <c r="B117" s="6" t="s">
        <v>203</v>
      </c>
      <c r="C117" s="6" t="s">
        <v>204</v>
      </c>
      <c r="D117" s="6" t="s">
        <v>205</v>
      </c>
      <c r="E117" s="7">
        <v>134986.511849731</v>
      </c>
      <c r="F117" s="6" t="s">
        <v>205</v>
      </c>
      <c r="G117" s="7">
        <v>134895.45879999999</v>
      </c>
      <c r="H117" s="8" t="s">
        <v>7</v>
      </c>
      <c r="I117" s="8" t="s">
        <v>767</v>
      </c>
      <c r="J117" s="8" t="s">
        <v>789</v>
      </c>
      <c r="K117" s="8" t="s">
        <v>805</v>
      </c>
      <c r="L117" s="8" t="s">
        <v>796</v>
      </c>
      <c r="M117" s="10" t="s">
        <v>829</v>
      </c>
      <c r="N117" s="10" t="str">
        <f t="shared" si="1"/>
        <v>NiftyFinancial ServicesIndex</v>
      </c>
    </row>
    <row r="118" spans="1:14" x14ac:dyDescent="0.35">
      <c r="A118" s="5">
        <v>68</v>
      </c>
      <c r="B118" s="6" t="s">
        <v>206</v>
      </c>
      <c r="C118" s="6" t="s">
        <v>207</v>
      </c>
      <c r="D118" s="6" t="s">
        <v>208</v>
      </c>
      <c r="E118" s="7">
        <v>134243.21940370099</v>
      </c>
      <c r="F118" s="6" t="s">
        <v>208</v>
      </c>
      <c r="G118" s="7">
        <v>134229.5344</v>
      </c>
      <c r="H118" s="8" t="s">
        <v>7</v>
      </c>
      <c r="I118" s="8" t="s">
        <v>767</v>
      </c>
      <c r="J118" s="8" t="s">
        <v>789</v>
      </c>
      <c r="K118" s="8" t="s">
        <v>805</v>
      </c>
      <c r="L118" s="8" t="s">
        <v>796</v>
      </c>
      <c r="M118" s="10" t="s">
        <v>829</v>
      </c>
      <c r="N118" s="10" t="str">
        <f t="shared" si="1"/>
        <v>NiftyFinancial ServicesIndex</v>
      </c>
    </row>
    <row r="119" spans="1:14" x14ac:dyDescent="0.35">
      <c r="A119" s="5">
        <v>70</v>
      </c>
      <c r="B119" s="6" t="s">
        <v>212</v>
      </c>
      <c r="C119" s="6" t="s">
        <v>213</v>
      </c>
      <c r="D119" s="6" t="s">
        <v>214</v>
      </c>
      <c r="E119" s="7">
        <v>130928.79548891699</v>
      </c>
      <c r="F119" s="6" t="s">
        <v>214</v>
      </c>
      <c r="G119" s="7">
        <v>130939.28509999999</v>
      </c>
      <c r="H119" s="8" t="s">
        <v>7</v>
      </c>
      <c r="I119" s="8" t="s">
        <v>767</v>
      </c>
      <c r="J119" s="8" t="s">
        <v>794</v>
      </c>
      <c r="K119" s="8" t="s">
        <v>792</v>
      </c>
      <c r="L119" s="8" t="s">
        <v>793</v>
      </c>
      <c r="M119" s="10" t="s">
        <v>829</v>
      </c>
      <c r="N119" s="10" t="str">
        <f t="shared" si="1"/>
        <v>NiftyFinancial ServicesIndex</v>
      </c>
    </row>
    <row r="120" spans="1:14" x14ac:dyDescent="0.35">
      <c r="A120" s="5">
        <v>71</v>
      </c>
      <c r="B120" s="6" t="s">
        <v>215</v>
      </c>
      <c r="C120" s="6" t="s">
        <v>216</v>
      </c>
      <c r="D120" s="6" t="s">
        <v>217</v>
      </c>
      <c r="E120" s="7">
        <v>129961.879806675</v>
      </c>
      <c r="F120" s="6" t="s">
        <v>217</v>
      </c>
      <c r="G120" s="7">
        <v>129972.0739</v>
      </c>
      <c r="H120" s="8" t="s">
        <v>7</v>
      </c>
      <c r="I120" s="8" t="s">
        <v>767</v>
      </c>
      <c r="J120" s="8" t="s">
        <v>789</v>
      </c>
      <c r="K120" s="8" t="s">
        <v>790</v>
      </c>
      <c r="L120" s="8" t="s">
        <v>791</v>
      </c>
      <c r="M120" s="10" t="s">
        <v>829</v>
      </c>
      <c r="N120" s="10" t="str">
        <f t="shared" si="1"/>
        <v>NiftyFinancial ServicesIndex</v>
      </c>
    </row>
    <row r="121" spans="1:14" x14ac:dyDescent="0.35">
      <c r="A121" s="5">
        <v>72</v>
      </c>
      <c r="B121" s="6" t="s">
        <v>218</v>
      </c>
      <c r="C121" s="6" t="s">
        <v>219</v>
      </c>
      <c r="D121" s="6" t="s">
        <v>220</v>
      </c>
      <c r="E121" s="7">
        <v>129277.42679901001</v>
      </c>
      <c r="F121" s="6" t="s">
        <v>220</v>
      </c>
      <c r="G121" s="7">
        <v>129271.2718</v>
      </c>
      <c r="H121" s="8" t="s">
        <v>7</v>
      </c>
      <c r="I121" s="8" t="s">
        <v>767</v>
      </c>
      <c r="J121" s="8" t="s">
        <v>794</v>
      </c>
      <c r="K121" s="8" t="s">
        <v>792</v>
      </c>
      <c r="L121" s="8" t="s">
        <v>793</v>
      </c>
      <c r="M121" s="10" t="s">
        <v>829</v>
      </c>
      <c r="N121" s="10" t="str">
        <f t="shared" si="1"/>
        <v>NiftyFinancial ServicesIndex</v>
      </c>
    </row>
    <row r="122" spans="1:14" x14ac:dyDescent="0.35">
      <c r="A122" s="5">
        <v>74</v>
      </c>
      <c r="B122" s="6" t="s">
        <v>224</v>
      </c>
      <c r="C122" s="6" t="s">
        <v>225</v>
      </c>
      <c r="D122" s="6" t="s">
        <v>226</v>
      </c>
      <c r="E122" s="7">
        <v>125431.07275002099</v>
      </c>
      <c r="F122" s="6" t="s">
        <v>226</v>
      </c>
      <c r="G122" s="7">
        <v>125444.2184</v>
      </c>
      <c r="H122" s="8" t="s">
        <v>7</v>
      </c>
      <c r="I122" s="8" t="s">
        <v>767</v>
      </c>
      <c r="J122" s="8" t="s">
        <v>789</v>
      </c>
      <c r="K122" s="8" t="s">
        <v>808</v>
      </c>
      <c r="L122" s="8" t="s">
        <v>796</v>
      </c>
      <c r="M122" s="10" t="s">
        <v>829</v>
      </c>
      <c r="N122" s="10" t="str">
        <f t="shared" si="1"/>
        <v>NiftyFinancial ServicesIndex</v>
      </c>
    </row>
    <row r="123" spans="1:14" x14ac:dyDescent="0.35">
      <c r="A123" s="5">
        <v>80</v>
      </c>
      <c r="B123" s="6" t="s">
        <v>242</v>
      </c>
      <c r="C123" s="6" t="s">
        <v>243</v>
      </c>
      <c r="D123" s="6" t="s">
        <v>244</v>
      </c>
      <c r="E123" s="7">
        <v>117500.29465678601</v>
      </c>
      <c r="F123" s="6" t="s">
        <v>244</v>
      </c>
      <c r="G123" s="7">
        <v>117480.13529999999</v>
      </c>
      <c r="H123" s="8" t="s">
        <v>7</v>
      </c>
      <c r="I123" s="8" t="s">
        <v>767</v>
      </c>
      <c r="J123" s="8" t="s">
        <v>789</v>
      </c>
      <c r="K123" s="8" t="s">
        <v>790</v>
      </c>
      <c r="L123" s="8" t="s">
        <v>791</v>
      </c>
      <c r="M123" s="10" t="s">
        <v>829</v>
      </c>
      <c r="N123" s="10" t="str">
        <f t="shared" si="1"/>
        <v>NiftyFinancial ServicesIndex</v>
      </c>
    </row>
    <row r="124" spans="1:14" x14ac:dyDescent="0.35">
      <c r="A124" s="5">
        <v>82</v>
      </c>
      <c r="B124" s="6" t="s">
        <v>248</v>
      </c>
      <c r="C124" s="6" t="s">
        <v>249</v>
      </c>
      <c r="D124" s="6" t="s">
        <v>250</v>
      </c>
      <c r="E124" s="7">
        <v>114295.605073179</v>
      </c>
      <c r="F124" s="6" t="s">
        <v>250</v>
      </c>
      <c r="G124" s="7">
        <v>114315.0422</v>
      </c>
      <c r="H124" s="8" t="s">
        <v>7</v>
      </c>
      <c r="I124" s="8" t="s">
        <v>767</v>
      </c>
      <c r="J124" s="8" t="s">
        <v>794</v>
      </c>
      <c r="K124" s="8" t="s">
        <v>795</v>
      </c>
      <c r="L124" s="8" t="s">
        <v>796</v>
      </c>
      <c r="M124" s="10" t="s">
        <v>829</v>
      </c>
      <c r="N124" s="10" t="str">
        <f t="shared" si="1"/>
        <v>NiftyFinancial ServicesIndex</v>
      </c>
    </row>
    <row r="125" spans="1:14" x14ac:dyDescent="0.35">
      <c r="A125" s="5">
        <v>95</v>
      </c>
      <c r="B125" s="6" t="s">
        <v>287</v>
      </c>
      <c r="C125" s="6" t="s">
        <v>288</v>
      </c>
      <c r="D125" s="6" t="s">
        <v>289</v>
      </c>
      <c r="E125" s="7">
        <v>108930.037407603</v>
      </c>
      <c r="F125" s="6" t="s">
        <v>289</v>
      </c>
      <c r="G125" s="7">
        <v>108951.30250000001</v>
      </c>
      <c r="H125" s="8" t="s">
        <v>7</v>
      </c>
      <c r="I125" s="8" t="s">
        <v>767</v>
      </c>
      <c r="J125" s="8" t="s">
        <v>794</v>
      </c>
      <c r="K125" s="8" t="s">
        <v>790</v>
      </c>
      <c r="L125" s="8" t="s">
        <v>791</v>
      </c>
      <c r="M125" s="10" t="s">
        <v>830</v>
      </c>
      <c r="N125" s="10" t="str">
        <f t="shared" si="1"/>
        <v>NiftyFinancial ServicesIndex</v>
      </c>
    </row>
    <row r="126" spans="1:14" x14ac:dyDescent="0.35">
      <c r="A126" s="5">
        <v>103</v>
      </c>
      <c r="B126" s="6" t="s">
        <v>312</v>
      </c>
      <c r="C126" s="6" t="s">
        <v>313</v>
      </c>
      <c r="D126" s="6" t="s">
        <v>314</v>
      </c>
      <c r="E126" s="7">
        <v>102939.06092414001</v>
      </c>
      <c r="F126" s="6" t="s">
        <v>314</v>
      </c>
      <c r="G126" s="7">
        <v>102939.48759999999</v>
      </c>
      <c r="H126" s="8" t="s">
        <v>308</v>
      </c>
      <c r="I126" s="8" t="s">
        <v>767</v>
      </c>
      <c r="J126" s="8" t="s">
        <v>794</v>
      </c>
      <c r="K126" s="8" t="s">
        <v>790</v>
      </c>
      <c r="L126" s="8" t="s">
        <v>791</v>
      </c>
      <c r="M126" s="10" t="s">
        <v>830</v>
      </c>
      <c r="N126" s="10" t="str">
        <f t="shared" si="1"/>
        <v>NiftyFinancial ServicesIndex</v>
      </c>
    </row>
    <row r="127" spans="1:14" x14ac:dyDescent="0.35">
      <c r="A127" s="5">
        <v>105</v>
      </c>
      <c r="B127" s="6" t="s">
        <v>319</v>
      </c>
      <c r="C127" s="6" t="s">
        <v>320</v>
      </c>
      <c r="D127" s="6" t="s">
        <v>6</v>
      </c>
      <c r="E127" s="7" t="s">
        <v>6</v>
      </c>
      <c r="F127" s="6" t="s">
        <v>321</v>
      </c>
      <c r="G127" s="7">
        <v>101299.2674</v>
      </c>
      <c r="H127" s="8" t="s">
        <v>308</v>
      </c>
      <c r="I127" s="8" t="s">
        <v>767</v>
      </c>
      <c r="J127" s="8" t="s">
        <v>789</v>
      </c>
      <c r="K127" s="8" t="s">
        <v>790</v>
      </c>
      <c r="L127" s="8" t="s">
        <v>791</v>
      </c>
      <c r="M127" s="10" t="s">
        <v>830</v>
      </c>
      <c r="N127" s="10" t="str">
        <f t="shared" si="1"/>
        <v>NiftyFinancial ServicesIndex</v>
      </c>
    </row>
    <row r="128" spans="1:14" x14ac:dyDescent="0.35">
      <c r="A128" s="5">
        <v>107</v>
      </c>
      <c r="B128" s="6" t="s">
        <v>325</v>
      </c>
      <c r="C128" s="6" t="s">
        <v>326</v>
      </c>
      <c r="D128" s="6" t="s">
        <v>327</v>
      </c>
      <c r="E128" s="7">
        <v>99682.657374372997</v>
      </c>
      <c r="F128" s="6" t="s">
        <v>327</v>
      </c>
      <c r="G128" s="7">
        <v>99686.078200000004</v>
      </c>
      <c r="H128" s="8" t="s">
        <v>308</v>
      </c>
      <c r="I128" s="8" t="s">
        <v>767</v>
      </c>
      <c r="J128" s="8" t="s">
        <v>794</v>
      </c>
      <c r="K128" s="8" t="s">
        <v>805</v>
      </c>
      <c r="L128" s="8" t="s">
        <v>796</v>
      </c>
      <c r="M128" s="10" t="s">
        <v>830</v>
      </c>
      <c r="N128" s="10" t="str">
        <f t="shared" si="1"/>
        <v>NiftyFinancial ServicesIndex</v>
      </c>
    </row>
    <row r="129" spans="1:14" x14ac:dyDescent="0.35">
      <c r="A129" s="5">
        <v>111</v>
      </c>
      <c r="B129" s="6" t="s">
        <v>337</v>
      </c>
      <c r="C129" s="6" t="s">
        <v>338</v>
      </c>
      <c r="D129" s="6" t="s">
        <v>339</v>
      </c>
      <c r="E129" s="7">
        <v>98216.747367618998</v>
      </c>
      <c r="F129" s="6" t="s">
        <v>339</v>
      </c>
      <c r="G129" s="7">
        <v>98212.672099999996</v>
      </c>
      <c r="H129" s="8" t="s">
        <v>308</v>
      </c>
      <c r="I129" s="8" t="s">
        <v>767</v>
      </c>
      <c r="J129" s="8" t="s">
        <v>794</v>
      </c>
      <c r="K129" s="8" t="s">
        <v>792</v>
      </c>
      <c r="L129" s="8" t="s">
        <v>793</v>
      </c>
      <c r="M129" s="10" t="s">
        <v>830</v>
      </c>
      <c r="N129" s="10" t="str">
        <f t="shared" si="1"/>
        <v>NiftyFinancial ServicesIndex</v>
      </c>
    </row>
    <row r="130" spans="1:14" x14ac:dyDescent="0.35">
      <c r="A130" s="5">
        <v>113</v>
      </c>
      <c r="B130" s="6" t="s">
        <v>343</v>
      </c>
      <c r="C130" s="6" t="s">
        <v>344</v>
      </c>
      <c r="D130" s="6" t="s">
        <v>345</v>
      </c>
      <c r="E130" s="7">
        <v>96784.32797719301</v>
      </c>
      <c r="F130" s="6" t="s">
        <v>345</v>
      </c>
      <c r="G130" s="7">
        <v>96700.860499999995</v>
      </c>
      <c r="H130" s="8" t="s">
        <v>308</v>
      </c>
      <c r="I130" s="8" t="s">
        <v>767</v>
      </c>
      <c r="J130" s="8" t="s">
        <v>789</v>
      </c>
      <c r="K130" s="8" t="s">
        <v>790</v>
      </c>
      <c r="L130" s="8" t="s">
        <v>791</v>
      </c>
      <c r="M130" s="10" t="s">
        <v>830</v>
      </c>
      <c r="N130" s="10" t="str">
        <f t="shared" si="1"/>
        <v>NiftyFinancial ServicesIndex</v>
      </c>
    </row>
    <row r="131" spans="1:14" x14ac:dyDescent="0.35">
      <c r="A131" s="5">
        <v>121</v>
      </c>
      <c r="B131" s="6" t="s">
        <v>367</v>
      </c>
      <c r="C131" s="6" t="s">
        <v>368</v>
      </c>
      <c r="D131" s="6" t="s">
        <v>369</v>
      </c>
      <c r="E131" s="7">
        <v>91541.607180288003</v>
      </c>
      <c r="F131" s="6" t="s">
        <v>369</v>
      </c>
      <c r="G131" s="7">
        <v>91537.705499999996</v>
      </c>
      <c r="H131" s="8" t="s">
        <v>308</v>
      </c>
      <c r="I131" s="8" t="s">
        <v>767</v>
      </c>
      <c r="J131" s="8" t="s">
        <v>789</v>
      </c>
      <c r="K131" s="8" t="s">
        <v>797</v>
      </c>
      <c r="L131" s="8" t="s">
        <v>791</v>
      </c>
      <c r="M131" s="10" t="s">
        <v>830</v>
      </c>
      <c r="N131" s="10" t="str">
        <f t="shared" ref="N131:N194" si="2">"Nifty" &amp;I131&amp; "Index"</f>
        <v>NiftyFinancial ServicesIndex</v>
      </c>
    </row>
    <row r="132" spans="1:14" x14ac:dyDescent="0.35">
      <c r="A132" s="5">
        <v>125</v>
      </c>
      <c r="B132" s="6" t="s">
        <v>379</v>
      </c>
      <c r="C132" s="6" t="s">
        <v>380</v>
      </c>
      <c r="D132" s="6" t="s">
        <v>381</v>
      </c>
      <c r="E132" s="7">
        <v>89707.079248035996</v>
      </c>
      <c r="F132" s="6" t="s">
        <v>381</v>
      </c>
      <c r="G132" s="7">
        <v>89685.832299999995</v>
      </c>
      <c r="H132" s="8" t="s">
        <v>308</v>
      </c>
      <c r="I132" s="8" t="s">
        <v>767</v>
      </c>
      <c r="J132" s="8" t="s">
        <v>789</v>
      </c>
      <c r="K132" s="8" t="s">
        <v>790</v>
      </c>
      <c r="L132" s="8" t="s">
        <v>791</v>
      </c>
      <c r="M132" s="10" t="s">
        <v>830</v>
      </c>
      <c r="N132" s="10" t="str">
        <f t="shared" si="2"/>
        <v>NiftyFinancial ServicesIndex</v>
      </c>
    </row>
    <row r="133" spans="1:14" x14ac:dyDescent="0.35">
      <c r="A133" s="5">
        <v>136</v>
      </c>
      <c r="B133" s="6" t="s">
        <v>412</v>
      </c>
      <c r="C133" s="6" t="s">
        <v>413</v>
      </c>
      <c r="D133" s="6" t="s">
        <v>414</v>
      </c>
      <c r="E133" s="7">
        <v>82604.925023106</v>
      </c>
      <c r="F133" s="6" t="s">
        <v>414</v>
      </c>
      <c r="G133" s="7">
        <v>82608.718599999993</v>
      </c>
      <c r="H133" s="8" t="s">
        <v>308</v>
      </c>
      <c r="I133" s="8" t="s">
        <v>767</v>
      </c>
      <c r="J133" s="8" t="s">
        <v>789</v>
      </c>
      <c r="K133" s="8" t="s">
        <v>802</v>
      </c>
      <c r="L133" s="8" t="s">
        <v>793</v>
      </c>
      <c r="M133" s="10" t="s">
        <v>830</v>
      </c>
      <c r="N133" s="10" t="str">
        <f t="shared" si="2"/>
        <v>NiftyFinancial ServicesIndex</v>
      </c>
    </row>
    <row r="134" spans="1:14" x14ac:dyDescent="0.35">
      <c r="A134" s="5">
        <v>139</v>
      </c>
      <c r="B134" s="6" t="s">
        <v>421</v>
      </c>
      <c r="C134" s="6" t="s">
        <v>422</v>
      </c>
      <c r="D134" s="6" t="s">
        <v>423</v>
      </c>
      <c r="E134" s="7">
        <v>79362.016536666008</v>
      </c>
      <c r="F134" s="6" t="s">
        <v>423</v>
      </c>
      <c r="G134" s="7">
        <v>79334.160799999998</v>
      </c>
      <c r="H134" s="8" t="s">
        <v>308</v>
      </c>
      <c r="I134" s="8" t="s">
        <v>767</v>
      </c>
      <c r="J134" s="8" t="s">
        <v>789</v>
      </c>
      <c r="K134" s="8" t="s">
        <v>790</v>
      </c>
      <c r="L134" s="8" t="s">
        <v>791</v>
      </c>
      <c r="M134" s="10" t="s">
        <v>830</v>
      </c>
      <c r="N134" s="10" t="str">
        <f t="shared" si="2"/>
        <v>NiftyFinancial ServicesIndex</v>
      </c>
    </row>
    <row r="135" spans="1:14" x14ac:dyDescent="0.35">
      <c r="A135" s="5">
        <v>141</v>
      </c>
      <c r="B135" s="6" t="s">
        <v>427</v>
      </c>
      <c r="C135" s="6" t="s">
        <v>428</v>
      </c>
      <c r="D135" s="6" t="s">
        <v>429</v>
      </c>
      <c r="E135" s="7">
        <v>74120.295251809992</v>
      </c>
      <c r="F135" s="6" t="s">
        <v>429</v>
      </c>
      <c r="G135" s="7">
        <v>74113.112200000003</v>
      </c>
      <c r="H135" s="8" t="s">
        <v>308</v>
      </c>
      <c r="I135" s="8" t="s">
        <v>767</v>
      </c>
      <c r="J135" s="8" t="s">
        <v>794</v>
      </c>
      <c r="K135" s="8" t="s">
        <v>805</v>
      </c>
      <c r="L135" s="8" t="s">
        <v>796</v>
      </c>
      <c r="M135" s="10" t="s">
        <v>830</v>
      </c>
      <c r="N135" s="10" t="str">
        <f t="shared" si="2"/>
        <v>NiftyFinancial ServicesIndex</v>
      </c>
    </row>
    <row r="136" spans="1:14" x14ac:dyDescent="0.35">
      <c r="A136" s="5">
        <v>154</v>
      </c>
      <c r="B136" s="6" t="s">
        <v>467</v>
      </c>
      <c r="C136" s="6" t="s">
        <v>468</v>
      </c>
      <c r="D136" s="6" t="s">
        <v>469</v>
      </c>
      <c r="E136" s="7">
        <v>66431.887619047993</v>
      </c>
      <c r="F136" s="6" t="s">
        <v>469</v>
      </c>
      <c r="G136" s="7">
        <v>66432.653399999996</v>
      </c>
      <c r="H136" s="8" t="s">
        <v>308</v>
      </c>
      <c r="I136" s="8" t="s">
        <v>767</v>
      </c>
      <c r="J136" s="8" t="s">
        <v>794</v>
      </c>
      <c r="K136" s="8" t="s">
        <v>790</v>
      </c>
      <c r="L136" s="8" t="s">
        <v>791</v>
      </c>
      <c r="M136" s="10" t="s">
        <v>830</v>
      </c>
      <c r="N136" s="10" t="str">
        <f t="shared" si="2"/>
        <v>NiftyFinancial ServicesIndex</v>
      </c>
    </row>
    <row r="137" spans="1:14" x14ac:dyDescent="0.35">
      <c r="A137" s="5">
        <v>155</v>
      </c>
      <c r="B137" s="6" t="s">
        <v>470</v>
      </c>
      <c r="C137" s="6" t="s">
        <v>471</v>
      </c>
      <c r="D137" s="6" t="s">
        <v>472</v>
      </c>
      <c r="E137" s="7">
        <v>66365.045075732996</v>
      </c>
      <c r="F137" s="6" t="s">
        <v>472</v>
      </c>
      <c r="G137" s="7">
        <v>66347.809699999998</v>
      </c>
      <c r="H137" s="8" t="s">
        <v>308</v>
      </c>
      <c r="I137" s="8" t="s">
        <v>767</v>
      </c>
      <c r="J137" s="8" t="s">
        <v>789</v>
      </c>
      <c r="K137" s="8" t="s">
        <v>790</v>
      </c>
      <c r="L137" s="8" t="s">
        <v>791</v>
      </c>
      <c r="M137" s="10" t="s">
        <v>830</v>
      </c>
      <c r="N137" s="10" t="str">
        <f t="shared" si="2"/>
        <v>NiftyFinancial ServicesIndex</v>
      </c>
    </row>
    <row r="138" spans="1:14" x14ac:dyDescent="0.35">
      <c r="A138" s="5">
        <v>166</v>
      </c>
      <c r="B138" s="6" t="s">
        <v>503</v>
      </c>
      <c r="C138" s="6" t="s">
        <v>504</v>
      </c>
      <c r="D138" s="6" t="s">
        <v>505</v>
      </c>
      <c r="E138" s="7">
        <v>63476.755872946997</v>
      </c>
      <c r="F138" s="6" t="s">
        <v>505</v>
      </c>
      <c r="G138" s="7">
        <v>63482.334199999998</v>
      </c>
      <c r="H138" s="8" t="s">
        <v>308</v>
      </c>
      <c r="I138" s="8" t="s">
        <v>767</v>
      </c>
      <c r="J138" s="8" t="s">
        <v>789</v>
      </c>
      <c r="K138" s="8" t="s">
        <v>801</v>
      </c>
      <c r="L138" s="8" t="s">
        <v>791</v>
      </c>
      <c r="M138" s="10" t="s">
        <v>830</v>
      </c>
      <c r="N138" s="10" t="str">
        <f t="shared" si="2"/>
        <v>NiftyFinancial ServicesIndex</v>
      </c>
    </row>
    <row r="139" spans="1:14" x14ac:dyDescent="0.35">
      <c r="A139" s="5">
        <v>167</v>
      </c>
      <c r="B139" s="6" t="s">
        <v>506</v>
      </c>
      <c r="C139" s="6" t="s">
        <v>507</v>
      </c>
      <c r="D139" s="6" t="s">
        <v>508</v>
      </c>
      <c r="E139" s="7">
        <v>63084.069992706005</v>
      </c>
      <c r="F139" s="6" t="s">
        <v>508</v>
      </c>
      <c r="G139" s="7">
        <v>63048.516100000001</v>
      </c>
      <c r="H139" s="8" t="s">
        <v>308</v>
      </c>
      <c r="I139" s="8" t="s">
        <v>767</v>
      </c>
      <c r="J139" s="8" t="s">
        <v>789</v>
      </c>
      <c r="K139" s="8" t="s">
        <v>790</v>
      </c>
      <c r="L139" s="8" t="s">
        <v>791</v>
      </c>
      <c r="M139" s="10" t="s">
        <v>830</v>
      </c>
      <c r="N139" s="10" t="str">
        <f t="shared" si="2"/>
        <v>NiftyFinancial ServicesIndex</v>
      </c>
    </row>
    <row r="140" spans="1:14" x14ac:dyDescent="0.35">
      <c r="A140" s="5">
        <v>170</v>
      </c>
      <c r="B140" s="6" t="s">
        <v>515</v>
      </c>
      <c r="C140" s="6" t="s">
        <v>516</v>
      </c>
      <c r="D140" s="6" t="s">
        <v>517</v>
      </c>
      <c r="E140" s="7">
        <v>62528.051982972</v>
      </c>
      <c r="F140" s="6" t="s">
        <v>517</v>
      </c>
      <c r="G140" s="7">
        <v>62528.799200000001</v>
      </c>
      <c r="H140" s="8" t="s">
        <v>308</v>
      </c>
      <c r="I140" s="8" t="s">
        <v>767</v>
      </c>
      <c r="J140" s="8" t="s">
        <v>789</v>
      </c>
      <c r="K140" s="8" t="s">
        <v>790</v>
      </c>
      <c r="L140" s="8" t="s">
        <v>791</v>
      </c>
      <c r="M140" s="10" t="s">
        <v>830</v>
      </c>
      <c r="N140" s="10" t="str">
        <f t="shared" si="2"/>
        <v>NiftyFinancial ServicesIndex</v>
      </c>
    </row>
    <row r="141" spans="1:14" x14ac:dyDescent="0.35">
      <c r="A141" s="5">
        <v>172</v>
      </c>
      <c r="B141" s="6" t="s">
        <v>521</v>
      </c>
      <c r="C141" s="6" t="s">
        <v>522</v>
      </c>
      <c r="D141" s="6" t="s">
        <v>523</v>
      </c>
      <c r="E141" s="7">
        <v>61420.120411371994</v>
      </c>
      <c r="F141" s="6" t="s">
        <v>523</v>
      </c>
      <c r="G141" s="7">
        <v>61378.710200000001</v>
      </c>
      <c r="H141" s="8" t="s">
        <v>308</v>
      </c>
      <c r="I141" s="8" t="s">
        <v>767</v>
      </c>
      <c r="J141" s="8" t="s">
        <v>789</v>
      </c>
      <c r="K141" s="8" t="s">
        <v>813</v>
      </c>
      <c r="L141" s="8" t="s">
        <v>793</v>
      </c>
      <c r="M141" s="10" t="s">
        <v>830</v>
      </c>
      <c r="N141" s="10" t="str">
        <f t="shared" si="2"/>
        <v>NiftyFinancial ServicesIndex</v>
      </c>
    </row>
    <row r="142" spans="1:14" x14ac:dyDescent="0.35">
      <c r="A142" s="5">
        <v>180</v>
      </c>
      <c r="B142" s="6" t="s">
        <v>545</v>
      </c>
      <c r="C142" s="6" t="s">
        <v>546</v>
      </c>
      <c r="D142" s="6" t="s">
        <v>547</v>
      </c>
      <c r="E142" s="7">
        <v>57802.622370106998</v>
      </c>
      <c r="F142" s="6" t="s">
        <v>547</v>
      </c>
      <c r="G142" s="7">
        <v>57811.366399999999</v>
      </c>
      <c r="H142" s="8" t="s">
        <v>308</v>
      </c>
      <c r="I142" s="8" t="s">
        <v>767</v>
      </c>
      <c r="J142" s="8" t="s">
        <v>794</v>
      </c>
      <c r="K142" s="8" t="s">
        <v>790</v>
      </c>
      <c r="L142" s="8" t="s">
        <v>791</v>
      </c>
      <c r="M142" s="10" t="s">
        <v>830</v>
      </c>
      <c r="N142" s="10" t="str">
        <f t="shared" si="2"/>
        <v>NiftyFinancial ServicesIndex</v>
      </c>
    </row>
    <row r="143" spans="1:14" x14ac:dyDescent="0.35">
      <c r="A143" s="5">
        <v>184</v>
      </c>
      <c r="B143" s="6" t="s">
        <v>557</v>
      </c>
      <c r="C143" s="6" t="s">
        <v>558</v>
      </c>
      <c r="D143" s="6" t="s">
        <v>559</v>
      </c>
      <c r="E143" s="7">
        <v>57664.291485678004</v>
      </c>
      <c r="F143" s="6" t="s">
        <v>559</v>
      </c>
      <c r="G143" s="7">
        <v>56605.589099999997</v>
      </c>
      <c r="H143" s="8" t="s">
        <v>308</v>
      </c>
      <c r="I143" s="8" t="s">
        <v>767</v>
      </c>
      <c r="J143" s="8" t="s">
        <v>789</v>
      </c>
      <c r="K143" s="8" t="s">
        <v>790</v>
      </c>
      <c r="L143" s="8" t="s">
        <v>791</v>
      </c>
      <c r="M143" s="10" t="s">
        <v>830</v>
      </c>
      <c r="N143" s="10" t="str">
        <f t="shared" si="2"/>
        <v>NiftyFinancial ServicesIndex</v>
      </c>
    </row>
    <row r="144" spans="1:14" x14ac:dyDescent="0.35">
      <c r="A144" s="5">
        <v>186</v>
      </c>
      <c r="B144" s="6" t="s">
        <v>563</v>
      </c>
      <c r="C144" s="6" t="s">
        <v>564</v>
      </c>
      <c r="D144" s="6" t="s">
        <v>565</v>
      </c>
      <c r="E144" s="7">
        <v>55870.246460152004</v>
      </c>
      <c r="F144" s="6" t="s">
        <v>565</v>
      </c>
      <c r="G144" s="7">
        <v>55855.064100000003</v>
      </c>
      <c r="H144" s="8" t="s">
        <v>308</v>
      </c>
      <c r="I144" s="8" t="s">
        <v>767</v>
      </c>
      <c r="J144" s="8" t="s">
        <v>789</v>
      </c>
      <c r="K144" s="8" t="s">
        <v>790</v>
      </c>
      <c r="L144" s="8" t="s">
        <v>791</v>
      </c>
      <c r="M144" s="10" t="s">
        <v>830</v>
      </c>
      <c r="N144" s="10" t="str">
        <f t="shared" si="2"/>
        <v>NiftyFinancial ServicesIndex</v>
      </c>
    </row>
    <row r="145" spans="1:14" x14ac:dyDescent="0.35">
      <c r="A145" s="5">
        <v>188</v>
      </c>
      <c r="B145" s="6" t="s">
        <v>569</v>
      </c>
      <c r="C145" s="6" t="s">
        <v>570</v>
      </c>
      <c r="D145" s="6" t="s">
        <v>571</v>
      </c>
      <c r="E145" s="7">
        <v>55402.534131444998</v>
      </c>
      <c r="F145" s="6" t="s">
        <v>571</v>
      </c>
      <c r="G145" s="7">
        <v>55407.217799999999</v>
      </c>
      <c r="H145" s="8" t="s">
        <v>308</v>
      </c>
      <c r="I145" s="8" t="s">
        <v>767</v>
      </c>
      <c r="J145" s="8" t="s">
        <v>789</v>
      </c>
      <c r="K145" s="8" t="s">
        <v>800</v>
      </c>
      <c r="L145" s="8" t="s">
        <v>793</v>
      </c>
      <c r="M145" s="10" t="s">
        <v>830</v>
      </c>
      <c r="N145" s="10" t="str">
        <f t="shared" si="2"/>
        <v>NiftyFinancial ServicesIndex</v>
      </c>
    </row>
    <row r="146" spans="1:14" x14ac:dyDescent="0.35">
      <c r="A146" s="5">
        <v>190</v>
      </c>
      <c r="B146" s="6" t="s">
        <v>575</v>
      </c>
      <c r="C146" s="6" t="s">
        <v>576</v>
      </c>
      <c r="D146" s="6" t="s">
        <v>577</v>
      </c>
      <c r="E146" s="7">
        <v>54269.803961503996</v>
      </c>
      <c r="F146" s="6" t="s">
        <v>577</v>
      </c>
      <c r="G146" s="7">
        <v>54298.671199999997</v>
      </c>
      <c r="H146" s="8" t="s">
        <v>308</v>
      </c>
      <c r="I146" s="8" t="s">
        <v>767</v>
      </c>
      <c r="J146" s="8" t="s">
        <v>789</v>
      </c>
      <c r="K146" s="8" t="s">
        <v>814</v>
      </c>
      <c r="L146" s="8" t="s">
        <v>796</v>
      </c>
      <c r="M146" s="10" t="s">
        <v>830</v>
      </c>
      <c r="N146" s="10" t="str">
        <f t="shared" si="2"/>
        <v>NiftyFinancial ServicesIndex</v>
      </c>
    </row>
    <row r="147" spans="1:14" x14ac:dyDescent="0.35">
      <c r="A147" s="5">
        <v>191</v>
      </c>
      <c r="B147" s="6" t="s">
        <v>578</v>
      </c>
      <c r="C147" s="6" t="s">
        <v>579</v>
      </c>
      <c r="D147" s="6" t="s">
        <v>580</v>
      </c>
      <c r="E147" s="7">
        <v>53988.835782865004</v>
      </c>
      <c r="F147" s="6" t="s">
        <v>580</v>
      </c>
      <c r="G147" s="7">
        <v>53958.915399999998</v>
      </c>
      <c r="H147" s="8" t="s">
        <v>308</v>
      </c>
      <c r="I147" s="8" t="s">
        <v>767</v>
      </c>
      <c r="J147" s="8" t="s">
        <v>789</v>
      </c>
      <c r="K147" s="8" t="s">
        <v>790</v>
      </c>
      <c r="L147" s="8" t="s">
        <v>791</v>
      </c>
      <c r="M147" s="10" t="s">
        <v>830</v>
      </c>
      <c r="N147" s="10" t="str">
        <f t="shared" si="2"/>
        <v>NiftyFinancial ServicesIndex</v>
      </c>
    </row>
    <row r="148" spans="1:14" x14ac:dyDescent="0.35">
      <c r="A148" s="5">
        <v>195</v>
      </c>
      <c r="B148" s="6" t="s">
        <v>590</v>
      </c>
      <c r="C148" s="6" t="s">
        <v>591</v>
      </c>
      <c r="D148" s="6" t="s">
        <v>592</v>
      </c>
      <c r="E148" s="7">
        <v>52664.234865400002</v>
      </c>
      <c r="F148" s="6" t="s">
        <v>592</v>
      </c>
      <c r="G148" s="7">
        <v>52674.251799999998</v>
      </c>
      <c r="H148" s="8" t="s">
        <v>308</v>
      </c>
      <c r="I148" s="8" t="s">
        <v>767</v>
      </c>
      <c r="J148" s="8" t="s">
        <v>789</v>
      </c>
      <c r="K148" s="8" t="s">
        <v>805</v>
      </c>
      <c r="L148" s="8" t="s">
        <v>796</v>
      </c>
      <c r="M148" s="10" t="s">
        <v>830</v>
      </c>
      <c r="N148" s="10" t="str">
        <f t="shared" si="2"/>
        <v>NiftyFinancial ServicesIndex</v>
      </c>
    </row>
    <row r="149" spans="1:14" x14ac:dyDescent="0.35">
      <c r="A149" s="5">
        <v>200</v>
      </c>
      <c r="B149" s="6" t="s">
        <v>605</v>
      </c>
      <c r="C149" s="6" t="s">
        <v>606</v>
      </c>
      <c r="D149" s="6" t="s">
        <v>607</v>
      </c>
      <c r="E149" s="7">
        <v>49310.595432090995</v>
      </c>
      <c r="F149" s="6" t="s">
        <v>607</v>
      </c>
      <c r="G149" s="7">
        <v>49318.285600000003</v>
      </c>
      <c r="H149" s="8" t="s">
        <v>308</v>
      </c>
      <c r="I149" s="8" t="s">
        <v>767</v>
      </c>
      <c r="J149" s="8" t="s">
        <v>789</v>
      </c>
      <c r="K149" s="8" t="s">
        <v>790</v>
      </c>
      <c r="L149" s="8" t="s">
        <v>791</v>
      </c>
      <c r="M149" s="10" t="s">
        <v>830</v>
      </c>
      <c r="N149" s="10" t="str">
        <f t="shared" si="2"/>
        <v>NiftyFinancial ServicesIndex</v>
      </c>
    </row>
    <row r="150" spans="1:14" x14ac:dyDescent="0.35">
      <c r="A150" s="5">
        <v>215</v>
      </c>
      <c r="B150" s="6" t="s">
        <v>651</v>
      </c>
      <c r="C150" s="6" t="s">
        <v>652</v>
      </c>
      <c r="D150" s="6" t="s">
        <v>653</v>
      </c>
      <c r="E150" s="7">
        <v>44791.797535714002</v>
      </c>
      <c r="F150" s="6" t="s">
        <v>653</v>
      </c>
      <c r="G150" s="7">
        <v>44793.7359</v>
      </c>
      <c r="H150" s="8" t="s">
        <v>308</v>
      </c>
      <c r="I150" s="8" t="s">
        <v>767</v>
      </c>
      <c r="J150" s="8" t="s">
        <v>794</v>
      </c>
      <c r="K150" s="8" t="s">
        <v>792</v>
      </c>
      <c r="L150" s="8" t="s">
        <v>793</v>
      </c>
      <c r="M150" s="10" t="s">
        <v>830</v>
      </c>
      <c r="N150" s="10" t="str">
        <f t="shared" si="2"/>
        <v>NiftyFinancial ServicesIndex</v>
      </c>
    </row>
    <row r="151" spans="1:14" x14ac:dyDescent="0.35">
      <c r="A151" s="5">
        <v>216</v>
      </c>
      <c r="B151" s="6" t="s">
        <v>654</v>
      </c>
      <c r="C151" s="6" t="s">
        <v>655</v>
      </c>
      <c r="D151" s="6" t="s">
        <v>656</v>
      </c>
      <c r="E151" s="7">
        <v>44932.243211326</v>
      </c>
      <c r="F151" s="6" t="s">
        <v>656</v>
      </c>
      <c r="G151" s="7">
        <v>44381.130899999996</v>
      </c>
      <c r="H151" s="8" t="s">
        <v>308</v>
      </c>
      <c r="I151" s="8" t="s">
        <v>767</v>
      </c>
      <c r="J151" s="8" t="s">
        <v>789</v>
      </c>
      <c r="K151" s="8" t="s">
        <v>790</v>
      </c>
      <c r="L151" s="8" t="s">
        <v>791</v>
      </c>
      <c r="M151" s="10" t="s">
        <v>830</v>
      </c>
      <c r="N151" s="10" t="str">
        <f t="shared" si="2"/>
        <v>NiftyFinancial ServicesIndex</v>
      </c>
    </row>
    <row r="152" spans="1:14" x14ac:dyDescent="0.35">
      <c r="A152" s="5">
        <v>217</v>
      </c>
      <c r="B152" s="6" t="s">
        <v>657</v>
      </c>
      <c r="C152" s="6" t="s">
        <v>658</v>
      </c>
      <c r="D152" s="6" t="s">
        <v>659</v>
      </c>
      <c r="E152" s="7">
        <v>43642.981579864005</v>
      </c>
      <c r="F152" s="6" t="s">
        <v>659</v>
      </c>
      <c r="G152" s="7">
        <v>43640.661899999999</v>
      </c>
      <c r="H152" s="8" t="s">
        <v>308</v>
      </c>
      <c r="I152" s="8" t="s">
        <v>767</v>
      </c>
      <c r="J152" s="8" t="s">
        <v>794</v>
      </c>
      <c r="K152" s="8" t="s">
        <v>797</v>
      </c>
      <c r="L152" s="8" t="s">
        <v>791</v>
      </c>
      <c r="M152" s="10" t="s">
        <v>830</v>
      </c>
      <c r="N152" s="10" t="str">
        <f t="shared" si="2"/>
        <v>NiftyFinancial ServicesIndex</v>
      </c>
    </row>
    <row r="153" spans="1:14" x14ac:dyDescent="0.35">
      <c r="A153" s="5">
        <v>220</v>
      </c>
      <c r="B153" s="6" t="s">
        <v>666</v>
      </c>
      <c r="C153" s="6" t="s">
        <v>667</v>
      </c>
      <c r="D153" s="6" t="s">
        <v>668</v>
      </c>
      <c r="E153" s="7">
        <v>41747.740623398997</v>
      </c>
      <c r="F153" s="6" t="s">
        <v>668</v>
      </c>
      <c r="G153" s="7">
        <v>41748.521000000001</v>
      </c>
      <c r="H153" s="8" t="s">
        <v>308</v>
      </c>
      <c r="I153" s="8" t="s">
        <v>767</v>
      </c>
      <c r="J153" s="8" t="s">
        <v>794</v>
      </c>
      <c r="K153" s="8" t="s">
        <v>792</v>
      </c>
      <c r="L153" s="8" t="s">
        <v>793</v>
      </c>
      <c r="M153" s="10" t="s">
        <v>830</v>
      </c>
      <c r="N153" s="10" t="str">
        <f t="shared" si="2"/>
        <v>NiftyFinancial ServicesIndex</v>
      </c>
    </row>
    <row r="154" spans="1:14" x14ac:dyDescent="0.35">
      <c r="A154" s="5">
        <v>223</v>
      </c>
      <c r="B154" s="6" t="s">
        <v>675</v>
      </c>
      <c r="C154" s="6" t="s">
        <v>676</v>
      </c>
      <c r="D154" s="6" t="s">
        <v>677</v>
      </c>
      <c r="E154" s="7">
        <v>41376.187135642998</v>
      </c>
      <c r="F154" s="6" t="s">
        <v>677</v>
      </c>
      <c r="G154" s="7">
        <v>41378.338300000003</v>
      </c>
      <c r="H154" s="8" t="s">
        <v>308</v>
      </c>
      <c r="I154" s="8" t="s">
        <v>767</v>
      </c>
      <c r="J154" s="8" t="s">
        <v>789</v>
      </c>
      <c r="K154" s="8" t="s">
        <v>790</v>
      </c>
      <c r="L154" s="8" t="s">
        <v>791</v>
      </c>
      <c r="M154" s="10" t="s">
        <v>830</v>
      </c>
      <c r="N154" s="10" t="str">
        <f t="shared" si="2"/>
        <v>NiftyFinancial ServicesIndex</v>
      </c>
    </row>
    <row r="155" spans="1:14" x14ac:dyDescent="0.35">
      <c r="A155" s="5">
        <v>236</v>
      </c>
      <c r="B155" s="6" t="s">
        <v>714</v>
      </c>
      <c r="C155" s="6" t="s">
        <v>715</v>
      </c>
      <c r="D155" s="6" t="s">
        <v>716</v>
      </c>
      <c r="E155" s="7">
        <v>38062.836077660999</v>
      </c>
      <c r="F155" s="6" t="s">
        <v>716</v>
      </c>
      <c r="G155" s="7">
        <v>38057.462</v>
      </c>
      <c r="H155" s="8" t="s">
        <v>308</v>
      </c>
      <c r="I155" s="8" t="s">
        <v>767</v>
      </c>
      <c r="J155" s="8" t="s">
        <v>794</v>
      </c>
      <c r="K155" s="8" t="s">
        <v>798</v>
      </c>
      <c r="L155" s="8" t="s">
        <v>799</v>
      </c>
      <c r="M155" s="10" t="s">
        <v>830</v>
      </c>
      <c r="N155" s="10" t="str">
        <f t="shared" si="2"/>
        <v>NiftyFinancial ServicesIndex</v>
      </c>
    </row>
    <row r="156" spans="1:14" x14ac:dyDescent="0.35">
      <c r="A156" s="5">
        <v>239</v>
      </c>
      <c r="B156" s="6" t="s">
        <v>723</v>
      </c>
      <c r="C156" s="6" t="s">
        <v>724</v>
      </c>
      <c r="D156" s="6" t="s">
        <v>725</v>
      </c>
      <c r="E156" s="7">
        <v>37809.031484615996</v>
      </c>
      <c r="F156" s="6" t="s">
        <v>725</v>
      </c>
      <c r="G156" s="7">
        <v>37805.025999999998</v>
      </c>
      <c r="H156" s="8" t="s">
        <v>308</v>
      </c>
      <c r="I156" s="8" t="s">
        <v>767</v>
      </c>
      <c r="J156" s="8" t="s">
        <v>789</v>
      </c>
      <c r="K156" s="8" t="s">
        <v>790</v>
      </c>
      <c r="L156" s="8" t="s">
        <v>791</v>
      </c>
      <c r="M156" s="10" t="s">
        <v>830</v>
      </c>
      <c r="N156" s="10" t="str">
        <f t="shared" si="2"/>
        <v>NiftyFinancial ServicesIndex</v>
      </c>
    </row>
    <row r="157" spans="1:14" x14ac:dyDescent="0.35">
      <c r="A157" s="5">
        <v>241</v>
      </c>
      <c r="B157" s="6" t="s">
        <v>729</v>
      </c>
      <c r="C157" s="6" t="s">
        <v>730</v>
      </c>
      <c r="D157" s="6" t="s">
        <v>731</v>
      </c>
      <c r="E157" s="7">
        <v>36984.175960973</v>
      </c>
      <c r="F157" s="6" t="s">
        <v>731</v>
      </c>
      <c r="G157" s="7">
        <v>36348.841</v>
      </c>
      <c r="H157" s="8" t="s">
        <v>308</v>
      </c>
      <c r="I157" s="8" t="s">
        <v>767</v>
      </c>
      <c r="J157" s="8" t="s">
        <v>789</v>
      </c>
      <c r="K157" s="8" t="s">
        <v>797</v>
      </c>
      <c r="L157" s="8" t="s">
        <v>791</v>
      </c>
      <c r="M157" s="10" t="s">
        <v>830</v>
      </c>
      <c r="N157" s="10" t="str">
        <f t="shared" si="2"/>
        <v>NiftyFinancial ServicesIndex</v>
      </c>
    </row>
    <row r="158" spans="1:14" x14ac:dyDescent="0.35">
      <c r="A158" s="5">
        <v>242</v>
      </c>
      <c r="B158" s="6" t="s">
        <v>732</v>
      </c>
      <c r="C158" s="6" t="s">
        <v>733</v>
      </c>
      <c r="D158" s="6" t="s">
        <v>734</v>
      </c>
      <c r="E158" s="7">
        <v>36290.817368007003</v>
      </c>
      <c r="F158" s="6" t="s">
        <v>734</v>
      </c>
      <c r="G158" s="7">
        <v>36290.591</v>
      </c>
      <c r="H158" s="8" t="s">
        <v>308</v>
      </c>
      <c r="I158" s="8" t="s">
        <v>767</v>
      </c>
      <c r="J158" s="8" t="s">
        <v>789</v>
      </c>
      <c r="K158" s="8" t="s">
        <v>790</v>
      </c>
      <c r="L158" s="8" t="s">
        <v>791</v>
      </c>
      <c r="M158" s="10" t="s">
        <v>830</v>
      </c>
      <c r="N158" s="10" t="str">
        <f t="shared" si="2"/>
        <v>NiftyFinancial ServicesIndex</v>
      </c>
    </row>
    <row r="159" spans="1:14" x14ac:dyDescent="0.35">
      <c r="A159" s="5">
        <v>244</v>
      </c>
      <c r="B159" s="6" t="s">
        <v>738</v>
      </c>
      <c r="C159" s="6" t="s">
        <v>739</v>
      </c>
      <c r="D159" s="6" t="s">
        <v>740</v>
      </c>
      <c r="E159" s="7">
        <v>35795.086145237001</v>
      </c>
      <c r="F159" s="6" t="s">
        <v>740</v>
      </c>
      <c r="G159" s="7">
        <v>35810.294600000001</v>
      </c>
      <c r="H159" s="8" t="s">
        <v>308</v>
      </c>
      <c r="I159" s="8" t="s">
        <v>767</v>
      </c>
      <c r="J159" s="8" t="s">
        <v>789</v>
      </c>
      <c r="K159" s="8" t="s">
        <v>805</v>
      </c>
      <c r="L159" s="8" t="s">
        <v>796</v>
      </c>
      <c r="M159" s="10" t="s">
        <v>830</v>
      </c>
      <c r="N159" s="10" t="str">
        <f t="shared" si="2"/>
        <v>NiftyFinancial ServicesIndex</v>
      </c>
    </row>
    <row r="160" spans="1:14" x14ac:dyDescent="0.35">
      <c r="A160" s="5">
        <v>247</v>
      </c>
      <c r="B160" s="6" t="s">
        <v>747</v>
      </c>
      <c r="C160" s="6" t="s">
        <v>748</v>
      </c>
      <c r="D160" s="6" t="s">
        <v>749</v>
      </c>
      <c r="E160" s="7">
        <v>35105.306964882002</v>
      </c>
      <c r="F160" s="6" t="s">
        <v>749</v>
      </c>
      <c r="G160" s="7">
        <v>35093.227400000003</v>
      </c>
      <c r="H160" s="8" t="s">
        <v>308</v>
      </c>
      <c r="I160" s="8" t="s">
        <v>767</v>
      </c>
      <c r="J160" s="8" t="s">
        <v>789</v>
      </c>
      <c r="K160" s="8" t="s">
        <v>790</v>
      </c>
      <c r="L160" s="8" t="s">
        <v>791</v>
      </c>
      <c r="M160" s="10" t="s">
        <v>830</v>
      </c>
      <c r="N160" s="10" t="str">
        <f t="shared" si="2"/>
        <v>NiftyFinancial ServicesIndex</v>
      </c>
    </row>
    <row r="161" spans="1:14" x14ac:dyDescent="0.35">
      <c r="A161" s="5">
        <v>157</v>
      </c>
      <c r="B161" s="6" t="s">
        <v>476</v>
      </c>
      <c r="C161" s="6" t="s">
        <v>477</v>
      </c>
      <c r="D161" s="6" t="s">
        <v>478</v>
      </c>
      <c r="E161" s="7">
        <v>65871.135412614007</v>
      </c>
      <c r="F161" s="6" t="s">
        <v>6</v>
      </c>
      <c r="G161" s="7" t="s">
        <v>6</v>
      </c>
      <c r="H161" s="8" t="s">
        <v>308</v>
      </c>
      <c r="I161" s="8" t="s">
        <v>773</v>
      </c>
      <c r="J161" s="8" t="s">
        <v>789</v>
      </c>
      <c r="K161" s="8" t="s">
        <v>790</v>
      </c>
      <c r="L161" s="8" t="s">
        <v>791</v>
      </c>
      <c r="M161" s="12" t="s">
        <v>831</v>
      </c>
      <c r="N161" s="10" t="str">
        <f t="shared" si="2"/>
        <v>NiftyHealthcareIndex</v>
      </c>
    </row>
    <row r="162" spans="1:14" x14ac:dyDescent="0.35">
      <c r="A162" s="5">
        <v>17</v>
      </c>
      <c r="B162" s="6" t="s">
        <v>53</v>
      </c>
      <c r="C162" s="6" t="s">
        <v>54</v>
      </c>
      <c r="D162" s="6" t="s">
        <v>55</v>
      </c>
      <c r="E162" s="7">
        <v>404420.98942319199</v>
      </c>
      <c r="F162" s="6" t="s">
        <v>55</v>
      </c>
      <c r="G162" s="7">
        <v>404406.9571</v>
      </c>
      <c r="H162" s="8" t="s">
        <v>7</v>
      </c>
      <c r="I162" s="8" t="s">
        <v>773</v>
      </c>
      <c r="J162" s="8" t="s">
        <v>789</v>
      </c>
      <c r="K162" s="8" t="s">
        <v>790</v>
      </c>
      <c r="L162" s="8" t="s">
        <v>791</v>
      </c>
      <c r="M162" s="10" t="s">
        <v>827</v>
      </c>
      <c r="N162" s="10" t="str">
        <f t="shared" si="2"/>
        <v>NiftyHealthcareIndex</v>
      </c>
    </row>
    <row r="163" spans="1:14" x14ac:dyDescent="0.35">
      <c r="A163" s="5">
        <v>51</v>
      </c>
      <c r="B163" s="6" t="s">
        <v>155</v>
      </c>
      <c r="C163" s="6" t="s">
        <v>156</v>
      </c>
      <c r="D163" s="6" t="s">
        <v>157</v>
      </c>
      <c r="E163" s="7">
        <v>169468.92613619799</v>
      </c>
      <c r="F163" s="6" t="s">
        <v>157</v>
      </c>
      <c r="G163" s="7">
        <v>169472.1918</v>
      </c>
      <c r="H163" s="8" t="s">
        <v>7</v>
      </c>
      <c r="I163" s="8" t="s">
        <v>773</v>
      </c>
      <c r="J163" s="8" t="s">
        <v>789</v>
      </c>
      <c r="K163" s="8" t="s">
        <v>804</v>
      </c>
      <c r="L163" s="8" t="s">
        <v>796</v>
      </c>
      <c r="M163" s="10" t="s">
        <v>829</v>
      </c>
      <c r="N163" s="10" t="str">
        <f t="shared" si="2"/>
        <v>NiftyHealthcareIndex</v>
      </c>
    </row>
    <row r="164" spans="1:14" x14ac:dyDescent="0.35">
      <c r="A164" s="5">
        <v>76</v>
      </c>
      <c r="B164" s="6" t="s">
        <v>230</v>
      </c>
      <c r="C164" s="6" t="s">
        <v>231</v>
      </c>
      <c r="D164" s="6" t="s">
        <v>232</v>
      </c>
      <c r="E164" s="7">
        <v>123546.64952599999</v>
      </c>
      <c r="F164" s="6" t="s">
        <v>232</v>
      </c>
      <c r="G164" s="7">
        <v>123553.8115</v>
      </c>
      <c r="H164" s="8" t="s">
        <v>7</v>
      </c>
      <c r="I164" s="8" t="s">
        <v>773</v>
      </c>
      <c r="J164" s="8" t="s">
        <v>789</v>
      </c>
      <c r="K164" s="8" t="s">
        <v>790</v>
      </c>
      <c r="L164" s="8" t="s">
        <v>791</v>
      </c>
      <c r="M164" s="10" t="s">
        <v>829</v>
      </c>
      <c r="N164" s="10" t="str">
        <f t="shared" si="2"/>
        <v>NiftyHealthcareIndex</v>
      </c>
    </row>
    <row r="165" spans="1:14" x14ac:dyDescent="0.35">
      <c r="A165" s="5">
        <v>77</v>
      </c>
      <c r="B165" s="6" t="s">
        <v>233</v>
      </c>
      <c r="C165" s="6" t="s">
        <v>234</v>
      </c>
      <c r="D165" s="6" t="s">
        <v>235</v>
      </c>
      <c r="E165" s="7">
        <v>122668.09930943501</v>
      </c>
      <c r="F165" s="6" t="s">
        <v>235</v>
      </c>
      <c r="G165" s="7">
        <v>122688.0836</v>
      </c>
      <c r="H165" s="8" t="s">
        <v>7</v>
      </c>
      <c r="I165" s="8" t="s">
        <v>773</v>
      </c>
      <c r="J165" s="8" t="s">
        <v>789</v>
      </c>
      <c r="K165" s="8" t="s">
        <v>801</v>
      </c>
      <c r="L165" s="8" t="s">
        <v>791</v>
      </c>
      <c r="M165" s="10" t="s">
        <v>829</v>
      </c>
      <c r="N165" s="10" t="str">
        <f t="shared" si="2"/>
        <v>NiftyHealthcareIndex</v>
      </c>
    </row>
    <row r="166" spans="1:14" x14ac:dyDescent="0.35">
      <c r="A166" s="5">
        <v>83</v>
      </c>
      <c r="B166" s="6" t="s">
        <v>251</v>
      </c>
      <c r="C166" s="6" t="s">
        <v>252</v>
      </c>
      <c r="D166" s="6" t="s">
        <v>253</v>
      </c>
      <c r="E166" s="7">
        <v>113898.15875029199</v>
      </c>
      <c r="F166" s="6" t="s">
        <v>253</v>
      </c>
      <c r="G166" s="7">
        <v>113887.31170000001</v>
      </c>
      <c r="H166" s="8" t="s">
        <v>7</v>
      </c>
      <c r="I166" s="8" t="s">
        <v>773</v>
      </c>
      <c r="J166" s="8" t="s">
        <v>789</v>
      </c>
      <c r="K166" s="8" t="s">
        <v>792</v>
      </c>
      <c r="L166" s="8" t="s">
        <v>793</v>
      </c>
      <c r="M166" s="10" t="s">
        <v>829</v>
      </c>
      <c r="N166" s="10" t="str">
        <f t="shared" si="2"/>
        <v>NiftyHealthcareIndex</v>
      </c>
    </row>
    <row r="167" spans="1:14" x14ac:dyDescent="0.35">
      <c r="A167" s="5">
        <v>97</v>
      </c>
      <c r="B167" s="6" t="s">
        <v>293</v>
      </c>
      <c r="C167" s="6" t="s">
        <v>294</v>
      </c>
      <c r="D167" s="6" t="s">
        <v>295</v>
      </c>
      <c r="E167" s="7">
        <v>107947.809029503</v>
      </c>
      <c r="F167" s="6" t="s">
        <v>295</v>
      </c>
      <c r="G167" s="7">
        <v>107953.3493</v>
      </c>
      <c r="H167" s="8" t="s">
        <v>7</v>
      </c>
      <c r="I167" s="8" t="s">
        <v>773</v>
      </c>
      <c r="J167" s="8" t="s">
        <v>789</v>
      </c>
      <c r="K167" s="8" t="s">
        <v>805</v>
      </c>
      <c r="L167" s="8" t="s">
        <v>796</v>
      </c>
      <c r="M167" s="10" t="s">
        <v>830</v>
      </c>
      <c r="N167" s="10" t="str">
        <f t="shared" si="2"/>
        <v>NiftyHealthcareIndex</v>
      </c>
    </row>
    <row r="168" spans="1:14" x14ac:dyDescent="0.35">
      <c r="A168" s="5">
        <v>100</v>
      </c>
      <c r="B168" s="6" t="s">
        <v>302</v>
      </c>
      <c r="C168" s="6" t="s">
        <v>303</v>
      </c>
      <c r="D168" s="6" t="s">
        <v>304</v>
      </c>
      <c r="E168" s="7">
        <v>105177.43996178101</v>
      </c>
      <c r="F168" s="6" t="s">
        <v>304</v>
      </c>
      <c r="G168" s="7">
        <v>105170.3036</v>
      </c>
      <c r="H168" s="8" t="s">
        <v>7</v>
      </c>
      <c r="I168" s="8" t="s">
        <v>773</v>
      </c>
      <c r="J168" s="8" t="s">
        <v>789</v>
      </c>
      <c r="K168" s="8" t="s">
        <v>804</v>
      </c>
      <c r="L168" s="8" t="s">
        <v>796</v>
      </c>
      <c r="M168" s="10" t="s">
        <v>830</v>
      </c>
      <c r="N168" s="10" t="str">
        <f t="shared" si="2"/>
        <v>NiftyHealthcareIndex</v>
      </c>
    </row>
    <row r="169" spans="1:14" x14ac:dyDescent="0.35">
      <c r="A169" s="5">
        <v>106</v>
      </c>
      <c r="B169" s="6" t="s">
        <v>322</v>
      </c>
      <c r="C169" s="6" t="s">
        <v>323</v>
      </c>
      <c r="D169" s="6" t="s">
        <v>324</v>
      </c>
      <c r="E169" s="7">
        <v>99913.070720881995</v>
      </c>
      <c r="F169" s="6" t="s">
        <v>324</v>
      </c>
      <c r="G169" s="7">
        <v>99923.489300000001</v>
      </c>
      <c r="H169" s="8" t="s">
        <v>308</v>
      </c>
      <c r="I169" s="8" t="s">
        <v>773</v>
      </c>
      <c r="J169" s="8" t="s">
        <v>789</v>
      </c>
      <c r="K169" s="8" t="s">
        <v>792</v>
      </c>
      <c r="L169" s="8" t="s">
        <v>793</v>
      </c>
      <c r="M169" s="10" t="s">
        <v>830</v>
      </c>
      <c r="N169" s="10" t="str">
        <f t="shared" si="2"/>
        <v>NiftyHealthcareIndex</v>
      </c>
    </row>
    <row r="170" spans="1:14" x14ac:dyDescent="0.35">
      <c r="A170" s="5">
        <v>112</v>
      </c>
      <c r="B170" s="6" t="s">
        <v>340</v>
      </c>
      <c r="C170" s="6" t="s">
        <v>341</v>
      </c>
      <c r="D170" s="6" t="s">
        <v>342</v>
      </c>
      <c r="E170" s="7">
        <v>97833.335753282998</v>
      </c>
      <c r="F170" s="6" t="s">
        <v>342</v>
      </c>
      <c r="G170" s="7">
        <v>97840.483200000002</v>
      </c>
      <c r="H170" s="8" t="s">
        <v>308</v>
      </c>
      <c r="I170" s="8" t="s">
        <v>773</v>
      </c>
      <c r="J170" s="8" t="s">
        <v>789</v>
      </c>
      <c r="K170" s="8" t="s">
        <v>801</v>
      </c>
      <c r="L170" s="8" t="s">
        <v>791</v>
      </c>
      <c r="M170" s="10" t="s">
        <v>830</v>
      </c>
      <c r="N170" s="10" t="str">
        <f t="shared" si="2"/>
        <v>NiftyHealthcareIndex</v>
      </c>
    </row>
    <row r="171" spans="1:14" x14ac:dyDescent="0.35">
      <c r="A171" s="5">
        <v>123</v>
      </c>
      <c r="B171" s="6" t="s">
        <v>373</v>
      </c>
      <c r="C171" s="6" t="s">
        <v>374</v>
      </c>
      <c r="D171" s="6" t="s">
        <v>375</v>
      </c>
      <c r="E171" s="7">
        <v>90702.495069127006</v>
      </c>
      <c r="F171" s="6" t="s">
        <v>375</v>
      </c>
      <c r="G171" s="7">
        <v>90701.519700000004</v>
      </c>
      <c r="H171" s="8" t="s">
        <v>308</v>
      </c>
      <c r="I171" s="8" t="s">
        <v>773</v>
      </c>
      <c r="J171" s="8" t="s">
        <v>789</v>
      </c>
      <c r="K171" s="8" t="s">
        <v>790</v>
      </c>
      <c r="L171" s="8" t="s">
        <v>791</v>
      </c>
      <c r="M171" s="10" t="s">
        <v>830</v>
      </c>
      <c r="N171" s="10" t="str">
        <f t="shared" si="2"/>
        <v>NiftyHealthcareIndex</v>
      </c>
    </row>
    <row r="172" spans="1:14" x14ac:dyDescent="0.35">
      <c r="A172" s="5">
        <v>149</v>
      </c>
      <c r="B172" s="6" t="s">
        <v>452</v>
      </c>
      <c r="C172" s="6" t="s">
        <v>453</v>
      </c>
      <c r="D172" s="6" t="s">
        <v>454</v>
      </c>
      <c r="E172" s="7">
        <v>70000.678159572999</v>
      </c>
      <c r="F172" s="6" t="s">
        <v>454</v>
      </c>
      <c r="G172" s="7">
        <v>69998.431299999997</v>
      </c>
      <c r="H172" s="8" t="s">
        <v>308</v>
      </c>
      <c r="I172" s="8" t="s">
        <v>773</v>
      </c>
      <c r="J172" s="8" t="s">
        <v>789</v>
      </c>
      <c r="K172" s="8" t="s">
        <v>802</v>
      </c>
      <c r="L172" s="8" t="s">
        <v>793</v>
      </c>
      <c r="M172" s="10" t="s">
        <v>830</v>
      </c>
      <c r="N172" s="10" t="str">
        <f t="shared" si="2"/>
        <v>NiftyHealthcareIndex</v>
      </c>
    </row>
    <row r="173" spans="1:14" x14ac:dyDescent="0.35">
      <c r="A173" s="5">
        <v>159</v>
      </c>
      <c r="B173" s="6" t="s">
        <v>482</v>
      </c>
      <c r="C173" s="6" t="s">
        <v>483</v>
      </c>
      <c r="D173" s="6" t="s">
        <v>484</v>
      </c>
      <c r="E173" s="7">
        <v>65677.439339459001</v>
      </c>
      <c r="F173" s="6" t="s">
        <v>484</v>
      </c>
      <c r="G173" s="7">
        <v>65683.639200000005</v>
      </c>
      <c r="H173" s="8" t="s">
        <v>308</v>
      </c>
      <c r="I173" s="8" t="s">
        <v>773</v>
      </c>
      <c r="J173" s="8" t="s">
        <v>789</v>
      </c>
      <c r="K173" s="8" t="s">
        <v>804</v>
      </c>
      <c r="L173" s="8" t="s">
        <v>796</v>
      </c>
      <c r="M173" s="10" t="s">
        <v>830</v>
      </c>
      <c r="N173" s="10" t="str">
        <f t="shared" si="2"/>
        <v>NiftyHealthcareIndex</v>
      </c>
    </row>
    <row r="174" spans="1:14" x14ac:dyDescent="0.35">
      <c r="A174" s="5">
        <v>161</v>
      </c>
      <c r="B174" s="6" t="s">
        <v>488</v>
      </c>
      <c r="C174" s="6" t="s">
        <v>489</v>
      </c>
      <c r="D174" s="6" t="s">
        <v>490</v>
      </c>
      <c r="E174" s="7">
        <v>64336.270619643008</v>
      </c>
      <c r="F174" s="6" t="s">
        <v>490</v>
      </c>
      <c r="G174" s="7">
        <v>64347.501199999999</v>
      </c>
      <c r="H174" s="8" t="s">
        <v>308</v>
      </c>
      <c r="I174" s="8" t="s">
        <v>773</v>
      </c>
      <c r="J174" s="8" t="s">
        <v>789</v>
      </c>
      <c r="K174" s="8" t="s">
        <v>790</v>
      </c>
      <c r="L174" s="8" t="s">
        <v>791</v>
      </c>
      <c r="M174" s="10" t="s">
        <v>830</v>
      </c>
      <c r="N174" s="10" t="str">
        <f t="shared" si="2"/>
        <v>NiftyHealthcareIndex</v>
      </c>
    </row>
    <row r="175" spans="1:14" x14ac:dyDescent="0.35">
      <c r="A175" s="5">
        <v>187</v>
      </c>
      <c r="B175" s="6" t="s">
        <v>566</v>
      </c>
      <c r="C175" s="6" t="s">
        <v>567</v>
      </c>
      <c r="D175" s="6" t="s">
        <v>568</v>
      </c>
      <c r="E175" s="7">
        <v>55712.565245906007</v>
      </c>
      <c r="F175" s="6" t="s">
        <v>568</v>
      </c>
      <c r="G175" s="7">
        <v>55719.3851</v>
      </c>
      <c r="H175" s="8" t="s">
        <v>308</v>
      </c>
      <c r="I175" s="8" t="s">
        <v>773</v>
      </c>
      <c r="J175" s="8" t="s">
        <v>789</v>
      </c>
      <c r="K175" s="8" t="s">
        <v>790</v>
      </c>
      <c r="L175" s="8" t="s">
        <v>791</v>
      </c>
      <c r="M175" s="10" t="s">
        <v>830</v>
      </c>
      <c r="N175" s="10" t="str">
        <f t="shared" si="2"/>
        <v>NiftyHealthcareIndex</v>
      </c>
    </row>
    <row r="176" spans="1:14" x14ac:dyDescent="0.35">
      <c r="A176" s="5">
        <v>197</v>
      </c>
      <c r="B176" s="6" t="s">
        <v>596</v>
      </c>
      <c r="C176" s="6" t="s">
        <v>597</v>
      </c>
      <c r="D176" s="6" t="s">
        <v>598</v>
      </c>
      <c r="E176" s="7">
        <v>50156.721308150001</v>
      </c>
      <c r="F176" s="6" t="s">
        <v>598</v>
      </c>
      <c r="G176" s="7">
        <v>50163.671399999999</v>
      </c>
      <c r="H176" s="8" t="s">
        <v>308</v>
      </c>
      <c r="I176" s="8" t="s">
        <v>773</v>
      </c>
      <c r="J176" s="8" t="s">
        <v>789</v>
      </c>
      <c r="K176" s="8" t="s">
        <v>795</v>
      </c>
      <c r="L176" s="8" t="s">
        <v>796</v>
      </c>
      <c r="M176" s="10" t="s">
        <v>830</v>
      </c>
      <c r="N176" s="10" t="str">
        <f t="shared" si="2"/>
        <v>NiftyHealthcareIndex</v>
      </c>
    </row>
    <row r="177" spans="1:14" x14ac:dyDescent="0.35">
      <c r="A177" s="5">
        <v>199</v>
      </c>
      <c r="B177" s="6" t="s">
        <v>602</v>
      </c>
      <c r="C177" s="6" t="s">
        <v>603</v>
      </c>
      <c r="D177" s="6" t="s">
        <v>604</v>
      </c>
      <c r="E177" s="7">
        <v>49375.177601583004</v>
      </c>
      <c r="F177" s="6" t="s">
        <v>604</v>
      </c>
      <c r="G177" s="7">
        <v>49354.412799999998</v>
      </c>
      <c r="H177" s="8" t="s">
        <v>308</v>
      </c>
      <c r="I177" s="8" t="s">
        <v>773</v>
      </c>
      <c r="J177" s="8" t="s">
        <v>789</v>
      </c>
      <c r="K177" s="8" t="s">
        <v>804</v>
      </c>
      <c r="L177" s="8" t="s">
        <v>796</v>
      </c>
      <c r="M177" s="10" t="s">
        <v>830</v>
      </c>
      <c r="N177" s="10" t="str">
        <f t="shared" si="2"/>
        <v>NiftyHealthcareIndex</v>
      </c>
    </row>
    <row r="178" spans="1:14" x14ac:dyDescent="0.35">
      <c r="A178" s="5">
        <v>206</v>
      </c>
      <c r="B178" s="6" t="s">
        <v>623</v>
      </c>
      <c r="C178" s="6" t="s">
        <v>624</v>
      </c>
      <c r="D178" s="6" t="s">
        <v>625</v>
      </c>
      <c r="E178" s="7">
        <v>46769.577531950003</v>
      </c>
      <c r="F178" s="6" t="s">
        <v>625</v>
      </c>
      <c r="G178" s="7">
        <v>46786.061000000002</v>
      </c>
      <c r="H178" s="8" t="s">
        <v>308</v>
      </c>
      <c r="I178" s="8" t="s">
        <v>773</v>
      </c>
      <c r="J178" s="8" t="s">
        <v>789</v>
      </c>
      <c r="K178" s="8" t="s">
        <v>790</v>
      </c>
      <c r="L178" s="8" t="s">
        <v>791</v>
      </c>
      <c r="M178" s="10" t="s">
        <v>830</v>
      </c>
      <c r="N178" s="10" t="str">
        <f t="shared" si="2"/>
        <v>NiftyHealthcareIndex</v>
      </c>
    </row>
    <row r="179" spans="1:14" x14ac:dyDescent="0.35">
      <c r="A179" s="5">
        <v>221</v>
      </c>
      <c r="B179" s="6" t="s">
        <v>669</v>
      </c>
      <c r="C179" s="6" t="s">
        <v>670</v>
      </c>
      <c r="D179" s="6" t="s">
        <v>671</v>
      </c>
      <c r="E179" s="7">
        <v>41542.897197525002</v>
      </c>
      <c r="F179" s="6" t="s">
        <v>671</v>
      </c>
      <c r="G179" s="7">
        <v>41550.970300000001</v>
      </c>
      <c r="H179" s="8" t="s">
        <v>308</v>
      </c>
      <c r="I179" s="8" t="s">
        <v>773</v>
      </c>
      <c r="J179" s="8" t="s">
        <v>789</v>
      </c>
      <c r="K179" s="8" t="s">
        <v>795</v>
      </c>
      <c r="L179" s="8" t="s">
        <v>796</v>
      </c>
      <c r="M179" s="10" t="s">
        <v>830</v>
      </c>
      <c r="N179" s="10" t="str">
        <f t="shared" si="2"/>
        <v>NiftyHealthcareIndex</v>
      </c>
    </row>
    <row r="180" spans="1:14" x14ac:dyDescent="0.35">
      <c r="A180" s="5">
        <v>238</v>
      </c>
      <c r="B180" s="6" t="s">
        <v>720</v>
      </c>
      <c r="C180" s="6" t="s">
        <v>721</v>
      </c>
      <c r="D180" s="6" t="s">
        <v>722</v>
      </c>
      <c r="E180" s="7">
        <v>37851.067461979001</v>
      </c>
      <c r="F180" s="6" t="s">
        <v>722</v>
      </c>
      <c r="G180" s="7">
        <v>37849.064400000003</v>
      </c>
      <c r="H180" s="8" t="s">
        <v>308</v>
      </c>
      <c r="I180" s="8" t="s">
        <v>773</v>
      </c>
      <c r="J180" s="8" t="s">
        <v>789</v>
      </c>
      <c r="K180" s="8" t="s">
        <v>795</v>
      </c>
      <c r="L180" s="8" t="s">
        <v>796</v>
      </c>
      <c r="M180" s="10" t="s">
        <v>830</v>
      </c>
      <c r="N180" s="10" t="str">
        <f t="shared" si="2"/>
        <v>NiftyHealthcareIndex</v>
      </c>
    </row>
    <row r="181" spans="1:14" x14ac:dyDescent="0.35">
      <c r="A181" s="5">
        <v>246</v>
      </c>
      <c r="B181" s="6" t="s">
        <v>744</v>
      </c>
      <c r="C181" s="6" t="s">
        <v>745</v>
      </c>
      <c r="D181" s="6" t="s">
        <v>746</v>
      </c>
      <c r="E181" s="7">
        <v>35215.538021948996</v>
      </c>
      <c r="F181" s="6" t="s">
        <v>746</v>
      </c>
      <c r="G181" s="7">
        <v>35224.575499999999</v>
      </c>
      <c r="H181" s="8" t="s">
        <v>308</v>
      </c>
      <c r="I181" s="8" t="s">
        <v>773</v>
      </c>
      <c r="J181" s="8" t="s">
        <v>789</v>
      </c>
      <c r="K181" s="8" t="s">
        <v>790</v>
      </c>
      <c r="L181" s="8" t="s">
        <v>791</v>
      </c>
      <c r="M181" s="10" t="s">
        <v>830</v>
      </c>
      <c r="N181" s="10" t="str">
        <f t="shared" si="2"/>
        <v>NiftyHealthcareIndex</v>
      </c>
    </row>
    <row r="182" spans="1:14" x14ac:dyDescent="0.35">
      <c r="A182" s="5">
        <v>250</v>
      </c>
      <c r="B182" s="6" t="s">
        <v>756</v>
      </c>
      <c r="C182" s="6" t="s">
        <v>757</v>
      </c>
      <c r="D182" s="6" t="s">
        <v>758</v>
      </c>
      <c r="E182" s="7">
        <v>34761.458363464</v>
      </c>
      <c r="F182" s="6" t="s">
        <v>758</v>
      </c>
      <c r="G182" s="7">
        <v>34755.299700000003</v>
      </c>
      <c r="H182" s="8" t="s">
        <v>308</v>
      </c>
      <c r="I182" s="8" t="s">
        <v>773</v>
      </c>
      <c r="J182" s="8" t="s">
        <v>789</v>
      </c>
      <c r="K182" s="8" t="s">
        <v>802</v>
      </c>
      <c r="L182" s="8" t="s">
        <v>793</v>
      </c>
      <c r="M182" s="10" t="s">
        <v>830</v>
      </c>
      <c r="N182" s="10" t="str">
        <f t="shared" si="2"/>
        <v>NiftyHealthcareIndex</v>
      </c>
    </row>
    <row r="183" spans="1:14" x14ac:dyDescent="0.35">
      <c r="A183" s="5">
        <v>175</v>
      </c>
      <c r="B183" s="6" t="s">
        <v>530</v>
      </c>
      <c r="C183" s="6" t="s">
        <v>531</v>
      </c>
      <c r="D183" s="6" t="s">
        <v>532</v>
      </c>
      <c r="E183" s="7">
        <v>61062.144091029004</v>
      </c>
      <c r="F183" s="6" t="s">
        <v>532</v>
      </c>
      <c r="G183" s="7">
        <v>61069.827700000002</v>
      </c>
      <c r="H183" s="8" t="s">
        <v>308</v>
      </c>
      <c r="I183" s="8" t="s">
        <v>785</v>
      </c>
      <c r="J183" s="8" t="s">
        <v>789</v>
      </c>
      <c r="K183" s="8" t="s">
        <v>797</v>
      </c>
      <c r="L183" s="8" t="s">
        <v>791</v>
      </c>
      <c r="M183" s="10" t="s">
        <v>830</v>
      </c>
      <c r="N183" s="10" t="str">
        <f t="shared" si="2"/>
        <v>NiftyIndustrial ProductsIndex</v>
      </c>
    </row>
    <row r="184" spans="1:14" x14ac:dyDescent="0.35">
      <c r="A184" s="5">
        <v>196</v>
      </c>
      <c r="B184" s="6" t="s">
        <v>593</v>
      </c>
      <c r="C184" s="6" t="s">
        <v>594</v>
      </c>
      <c r="D184" s="6" t="s">
        <v>595</v>
      </c>
      <c r="E184" s="7">
        <v>51140.483542626003</v>
      </c>
      <c r="F184" s="6" t="s">
        <v>595</v>
      </c>
      <c r="G184" s="7">
        <v>51150.020600000003</v>
      </c>
      <c r="H184" s="8" t="s">
        <v>308</v>
      </c>
      <c r="I184" s="8" t="s">
        <v>785</v>
      </c>
      <c r="J184" s="8" t="s">
        <v>789</v>
      </c>
      <c r="K184" s="8" t="s">
        <v>790</v>
      </c>
      <c r="L184" s="8" t="s">
        <v>791</v>
      </c>
      <c r="M184" s="10" t="s">
        <v>830</v>
      </c>
      <c r="N184" s="10" t="str">
        <f t="shared" si="2"/>
        <v>NiftyIndustrial ProductsIndex</v>
      </c>
    </row>
    <row r="185" spans="1:14" x14ac:dyDescent="0.35">
      <c r="A185" s="5">
        <v>204</v>
      </c>
      <c r="B185" s="6" t="s">
        <v>617</v>
      </c>
      <c r="C185" s="6" t="s">
        <v>618</v>
      </c>
      <c r="D185" s="6" t="s">
        <v>619</v>
      </c>
      <c r="E185" s="7">
        <v>47513.112303474998</v>
      </c>
      <c r="F185" s="6" t="s">
        <v>619</v>
      </c>
      <c r="G185" s="7">
        <v>47509.2094</v>
      </c>
      <c r="H185" s="8" t="s">
        <v>308</v>
      </c>
      <c r="I185" s="8" t="s">
        <v>785</v>
      </c>
      <c r="J185" s="8" t="s">
        <v>789</v>
      </c>
      <c r="K185" s="8" t="s">
        <v>817</v>
      </c>
      <c r="L185" s="8" t="s">
        <v>793</v>
      </c>
      <c r="M185" s="10" t="s">
        <v>830</v>
      </c>
      <c r="N185" s="10" t="str">
        <f t="shared" si="2"/>
        <v>NiftyIndustrial ProductsIndex</v>
      </c>
    </row>
    <row r="186" spans="1:14" x14ac:dyDescent="0.35">
      <c r="A186" s="5">
        <v>233</v>
      </c>
      <c r="B186" s="6" t="s">
        <v>705</v>
      </c>
      <c r="C186" s="6" t="s">
        <v>706</v>
      </c>
      <c r="D186" s="6" t="s">
        <v>707</v>
      </c>
      <c r="E186" s="7">
        <v>38626.777117391997</v>
      </c>
      <c r="F186" s="6" t="s">
        <v>707</v>
      </c>
      <c r="G186" s="7">
        <v>38629.754699999998</v>
      </c>
      <c r="H186" s="8" t="s">
        <v>308</v>
      </c>
      <c r="I186" s="8" t="s">
        <v>785</v>
      </c>
      <c r="J186" s="8" t="s">
        <v>789</v>
      </c>
      <c r="K186" s="8" t="s">
        <v>801</v>
      </c>
      <c r="L186" s="8" t="s">
        <v>791</v>
      </c>
      <c r="M186" s="10" t="s">
        <v>830</v>
      </c>
      <c r="N186" s="10" t="str">
        <f t="shared" si="2"/>
        <v>NiftyIndustrial ProductsIndex</v>
      </c>
    </row>
    <row r="187" spans="1:14" x14ac:dyDescent="0.35">
      <c r="A187" s="5">
        <v>4</v>
      </c>
      <c r="B187" s="6" t="s">
        <v>14</v>
      </c>
      <c r="C187" s="6" t="s">
        <v>15</v>
      </c>
      <c r="D187" s="6" t="s">
        <v>16</v>
      </c>
      <c r="E187" s="7">
        <v>1129581.9984842499</v>
      </c>
      <c r="F187" s="6" t="s">
        <v>16</v>
      </c>
      <c r="G187" s="7">
        <v>1129555.1499999999</v>
      </c>
      <c r="H187" s="8" t="s">
        <v>7</v>
      </c>
      <c r="I187" s="8" t="s">
        <v>769</v>
      </c>
      <c r="J187" s="8" t="s">
        <v>789</v>
      </c>
      <c r="K187" s="8" t="s">
        <v>790</v>
      </c>
      <c r="L187" s="8" t="s">
        <v>791</v>
      </c>
      <c r="M187" s="10" t="s">
        <v>827</v>
      </c>
      <c r="N187" s="10" t="str">
        <f t="shared" si="2"/>
        <v>NiftyInformation TechnologyIndex</v>
      </c>
    </row>
    <row r="188" spans="1:14" x14ac:dyDescent="0.35">
      <c r="A188" s="5">
        <v>7</v>
      </c>
      <c r="B188" s="6" t="s">
        <v>23</v>
      </c>
      <c r="C188" s="6" t="s">
        <v>24</v>
      </c>
      <c r="D188" s="6" t="s">
        <v>25</v>
      </c>
      <c r="E188" s="7">
        <v>635239.14467176597</v>
      </c>
      <c r="F188" s="6" t="s">
        <v>25</v>
      </c>
      <c r="G188" s="7">
        <v>635103.54940000002</v>
      </c>
      <c r="H188" s="8" t="s">
        <v>7</v>
      </c>
      <c r="I188" s="8" t="s">
        <v>769</v>
      </c>
      <c r="J188" s="8" t="s">
        <v>789</v>
      </c>
      <c r="K188" s="8" t="s">
        <v>795</v>
      </c>
      <c r="L188" s="8" t="s">
        <v>796</v>
      </c>
      <c r="M188" s="10" t="s">
        <v>827</v>
      </c>
      <c r="N188" s="10" t="str">
        <f t="shared" si="2"/>
        <v>NiftyInformation TechnologyIndex</v>
      </c>
    </row>
    <row r="189" spans="1:14" x14ac:dyDescent="0.35">
      <c r="A189" s="5">
        <v>15</v>
      </c>
      <c r="B189" s="6" t="s">
        <v>47</v>
      </c>
      <c r="C189" s="6" t="s">
        <v>48</v>
      </c>
      <c r="D189" s="6" t="s">
        <v>49</v>
      </c>
      <c r="E189" s="7">
        <v>418792.28862195701</v>
      </c>
      <c r="F189" s="6" t="s">
        <v>49</v>
      </c>
      <c r="G189" s="7">
        <v>418769.13630000001</v>
      </c>
      <c r="H189" s="8" t="s">
        <v>7</v>
      </c>
      <c r="I189" s="8" t="s">
        <v>769</v>
      </c>
      <c r="J189" s="8" t="s">
        <v>789</v>
      </c>
      <c r="K189" s="8" t="s">
        <v>800</v>
      </c>
      <c r="L189" s="8" t="s">
        <v>793</v>
      </c>
      <c r="M189" s="10" t="s">
        <v>827</v>
      </c>
      <c r="N189" s="10" t="str">
        <f t="shared" si="2"/>
        <v>NiftyInformation TechnologyIndex</v>
      </c>
    </row>
    <row r="190" spans="1:14" x14ac:dyDescent="0.35">
      <c r="A190" s="5">
        <v>26</v>
      </c>
      <c r="B190" s="6" t="s">
        <v>80</v>
      </c>
      <c r="C190" s="6" t="s">
        <v>81</v>
      </c>
      <c r="D190" s="6" t="s">
        <v>82</v>
      </c>
      <c r="E190" s="7">
        <v>297118.97840422997</v>
      </c>
      <c r="F190" s="6" t="s">
        <v>82</v>
      </c>
      <c r="G190" s="7">
        <v>297138.50890000002</v>
      </c>
      <c r="H190" s="8" t="s">
        <v>7</v>
      </c>
      <c r="I190" s="8" t="s">
        <v>769</v>
      </c>
      <c r="J190" s="8" t="s">
        <v>789</v>
      </c>
      <c r="K190" s="8" t="s">
        <v>802</v>
      </c>
      <c r="L190" s="8" t="s">
        <v>793</v>
      </c>
      <c r="M190" s="10" t="s">
        <v>827</v>
      </c>
      <c r="N190" s="10" t="str">
        <f t="shared" si="2"/>
        <v>NiftyInformation TechnologyIndex</v>
      </c>
    </row>
    <row r="191" spans="1:14" x14ac:dyDescent="0.35">
      <c r="A191" s="5">
        <v>32</v>
      </c>
      <c r="B191" s="6" t="s">
        <v>98</v>
      </c>
      <c r="C191" s="6" t="s">
        <v>99</v>
      </c>
      <c r="D191" s="6" t="s">
        <v>100</v>
      </c>
      <c r="E191" s="7">
        <v>263358.28259463503</v>
      </c>
      <c r="F191" s="6" t="s">
        <v>100</v>
      </c>
      <c r="G191" s="7">
        <v>263356.97580000001</v>
      </c>
      <c r="H191" s="8" t="s">
        <v>7</v>
      </c>
      <c r="I191" s="8" t="s">
        <v>769</v>
      </c>
      <c r="J191" s="8" t="s">
        <v>789</v>
      </c>
      <c r="K191" s="8" t="s">
        <v>795</v>
      </c>
      <c r="L191" s="8" t="s">
        <v>796</v>
      </c>
      <c r="M191" s="10" t="s">
        <v>827</v>
      </c>
      <c r="N191" s="10" t="str">
        <f t="shared" si="2"/>
        <v>NiftyInformation TechnologyIndex</v>
      </c>
    </row>
    <row r="192" spans="1:14" x14ac:dyDescent="0.35">
      <c r="A192" s="5">
        <v>53</v>
      </c>
      <c r="B192" s="6" t="s">
        <v>161</v>
      </c>
      <c r="C192" s="6" t="s">
        <v>162</v>
      </c>
      <c r="D192" s="6" t="s">
        <v>163</v>
      </c>
      <c r="E192" s="7">
        <v>163646.75081303899</v>
      </c>
      <c r="F192" s="6" t="s">
        <v>163</v>
      </c>
      <c r="G192" s="7">
        <v>163636.6544</v>
      </c>
      <c r="H192" s="8" t="s">
        <v>7</v>
      </c>
      <c r="I192" s="8" t="s">
        <v>769</v>
      </c>
      <c r="J192" s="8" t="s">
        <v>789</v>
      </c>
      <c r="K192" s="8" t="s">
        <v>790</v>
      </c>
      <c r="L192" s="8" t="s">
        <v>791</v>
      </c>
      <c r="M192" s="10" t="s">
        <v>829</v>
      </c>
      <c r="N192" s="10" t="str">
        <f t="shared" si="2"/>
        <v>NiftyInformation TechnologyIndex</v>
      </c>
    </row>
    <row r="193" spans="1:14" x14ac:dyDescent="0.35">
      <c r="A193" s="5">
        <v>60</v>
      </c>
      <c r="B193" s="6" t="s">
        <v>182</v>
      </c>
      <c r="C193" s="6" t="s">
        <v>183</v>
      </c>
      <c r="D193" s="6" t="s">
        <v>184</v>
      </c>
      <c r="E193" s="7">
        <v>147723.93992043001</v>
      </c>
      <c r="F193" s="6" t="s">
        <v>184</v>
      </c>
      <c r="G193" s="7">
        <v>147707.0301</v>
      </c>
      <c r="H193" s="8" t="s">
        <v>7</v>
      </c>
      <c r="I193" s="8" t="s">
        <v>769</v>
      </c>
      <c r="J193" s="8" t="s">
        <v>789</v>
      </c>
      <c r="K193" s="8" t="s">
        <v>797</v>
      </c>
      <c r="L193" s="8" t="s">
        <v>791</v>
      </c>
      <c r="M193" s="10" t="s">
        <v>829</v>
      </c>
      <c r="N193" s="10" t="str">
        <f t="shared" si="2"/>
        <v>NiftyInformation TechnologyIndex</v>
      </c>
    </row>
    <row r="194" spans="1:14" x14ac:dyDescent="0.35">
      <c r="A194" s="5">
        <v>126</v>
      </c>
      <c r="B194" s="6" t="s">
        <v>382</v>
      </c>
      <c r="C194" s="6" t="s">
        <v>383</v>
      </c>
      <c r="D194" s="6" t="s">
        <v>384</v>
      </c>
      <c r="E194" s="7">
        <v>89266.682807539997</v>
      </c>
      <c r="F194" s="6" t="s">
        <v>384</v>
      </c>
      <c r="G194" s="7">
        <v>89034.1679</v>
      </c>
      <c r="H194" s="8" t="s">
        <v>308</v>
      </c>
      <c r="I194" s="8" t="s">
        <v>769</v>
      </c>
      <c r="J194" s="8" t="s">
        <v>789</v>
      </c>
      <c r="K194" s="8" t="s">
        <v>797</v>
      </c>
      <c r="L194" s="8" t="s">
        <v>791</v>
      </c>
      <c r="M194" s="10" t="s">
        <v>830</v>
      </c>
      <c r="N194" s="10" t="str">
        <f t="shared" si="2"/>
        <v>NiftyInformation TechnologyIndex</v>
      </c>
    </row>
    <row r="195" spans="1:14" x14ac:dyDescent="0.35">
      <c r="A195" s="5">
        <v>142</v>
      </c>
      <c r="B195" s="6" t="s">
        <v>430</v>
      </c>
      <c r="C195" s="6" t="s">
        <v>431</v>
      </c>
      <c r="D195" s="6" t="s">
        <v>432</v>
      </c>
      <c r="E195" s="7">
        <v>74085.037711395998</v>
      </c>
      <c r="F195" s="6" t="s">
        <v>432</v>
      </c>
      <c r="G195" s="7">
        <v>74059.8315</v>
      </c>
      <c r="H195" s="8" t="s">
        <v>308</v>
      </c>
      <c r="I195" s="8" t="s">
        <v>769</v>
      </c>
      <c r="J195" s="8" t="s">
        <v>789</v>
      </c>
      <c r="K195" s="8" t="s">
        <v>790</v>
      </c>
      <c r="L195" s="8" t="s">
        <v>791</v>
      </c>
      <c r="M195" s="10" t="s">
        <v>830</v>
      </c>
      <c r="N195" s="10" t="str">
        <f t="shared" ref="N195:N252" si="3">"Nifty" &amp;I195&amp; "Index"</f>
        <v>NiftyInformation TechnologyIndex</v>
      </c>
    </row>
    <row r="196" spans="1:14" x14ac:dyDescent="0.35">
      <c r="A196" s="5">
        <v>177</v>
      </c>
      <c r="B196" s="6" t="s">
        <v>536</v>
      </c>
      <c r="C196" s="6" t="s">
        <v>537</v>
      </c>
      <c r="D196" s="6" t="s">
        <v>538</v>
      </c>
      <c r="E196" s="7">
        <v>59323.615356383998</v>
      </c>
      <c r="F196" s="6" t="s">
        <v>538</v>
      </c>
      <c r="G196" s="7">
        <v>59303.368900000001</v>
      </c>
      <c r="H196" s="8" t="s">
        <v>308</v>
      </c>
      <c r="I196" s="8" t="s">
        <v>769</v>
      </c>
      <c r="J196" s="8" t="s">
        <v>789</v>
      </c>
      <c r="K196" s="8" t="s">
        <v>800</v>
      </c>
      <c r="L196" s="8" t="s">
        <v>793</v>
      </c>
      <c r="M196" s="10" t="s">
        <v>830</v>
      </c>
      <c r="N196" s="10" t="str">
        <f t="shared" si="3"/>
        <v>NiftyInformation TechnologyIndex</v>
      </c>
    </row>
    <row r="197" spans="1:14" x14ac:dyDescent="0.35">
      <c r="A197" s="5">
        <v>192</v>
      </c>
      <c r="B197" s="6" t="s">
        <v>581</v>
      </c>
      <c r="C197" s="6" t="s">
        <v>582</v>
      </c>
      <c r="D197" s="6" t="s">
        <v>583</v>
      </c>
      <c r="E197" s="7">
        <v>53515.510625810995</v>
      </c>
      <c r="F197" s="6" t="s">
        <v>583</v>
      </c>
      <c r="G197" s="7">
        <v>53505.609799999998</v>
      </c>
      <c r="H197" s="8" t="s">
        <v>308</v>
      </c>
      <c r="I197" s="8" t="s">
        <v>769</v>
      </c>
      <c r="J197" s="8" t="s">
        <v>789</v>
      </c>
      <c r="K197" s="8" t="s">
        <v>795</v>
      </c>
      <c r="L197" s="8" t="s">
        <v>796</v>
      </c>
      <c r="M197" s="10" t="s">
        <v>830</v>
      </c>
      <c r="N197" s="10" t="str">
        <f t="shared" si="3"/>
        <v>NiftyInformation TechnologyIndex</v>
      </c>
    </row>
    <row r="198" spans="1:14" x14ac:dyDescent="0.35">
      <c r="A198" s="5">
        <v>211</v>
      </c>
      <c r="B198" s="6" t="s">
        <v>638</v>
      </c>
      <c r="C198" s="6" t="s">
        <v>639</v>
      </c>
      <c r="D198" s="6" t="s">
        <v>640</v>
      </c>
      <c r="E198" s="7">
        <v>45651.851133579999</v>
      </c>
      <c r="F198" s="6" t="s">
        <v>641</v>
      </c>
      <c r="G198" s="7">
        <v>45634.261899999998</v>
      </c>
      <c r="H198" s="8" t="s">
        <v>308</v>
      </c>
      <c r="I198" s="8" t="s">
        <v>769</v>
      </c>
      <c r="J198" s="8" t="s">
        <v>789</v>
      </c>
      <c r="K198" s="8" t="s">
        <v>790</v>
      </c>
      <c r="L198" s="8" t="s">
        <v>791</v>
      </c>
      <c r="M198" s="10" t="s">
        <v>830</v>
      </c>
      <c r="N198" s="10" t="str">
        <f t="shared" si="3"/>
        <v>NiftyInformation TechnologyIndex</v>
      </c>
    </row>
    <row r="199" spans="1:14" x14ac:dyDescent="0.35">
      <c r="A199" s="5">
        <v>212</v>
      </c>
      <c r="B199" s="6" t="s">
        <v>642</v>
      </c>
      <c r="C199" s="6" t="s">
        <v>643</v>
      </c>
      <c r="D199" s="6" t="s">
        <v>644</v>
      </c>
      <c r="E199" s="7">
        <v>45463.285556815994</v>
      </c>
      <c r="F199" s="6" t="s">
        <v>644</v>
      </c>
      <c r="G199" s="7">
        <v>45466.6849</v>
      </c>
      <c r="H199" s="8" t="s">
        <v>308</v>
      </c>
      <c r="I199" s="8" t="s">
        <v>769</v>
      </c>
      <c r="J199" s="8" t="s">
        <v>789</v>
      </c>
      <c r="K199" s="8" t="s">
        <v>806</v>
      </c>
      <c r="L199" s="8" t="s">
        <v>791</v>
      </c>
      <c r="M199" s="10" t="s">
        <v>830</v>
      </c>
      <c r="N199" s="10" t="str">
        <f t="shared" si="3"/>
        <v>NiftyInformation TechnologyIndex</v>
      </c>
    </row>
    <row r="200" spans="1:14" x14ac:dyDescent="0.35">
      <c r="A200" s="5">
        <v>28</v>
      </c>
      <c r="B200" s="6" t="s">
        <v>86</v>
      </c>
      <c r="C200" s="6" t="s">
        <v>87</v>
      </c>
      <c r="D200" s="6" t="s">
        <v>88</v>
      </c>
      <c r="E200" s="7">
        <v>284353.712625054</v>
      </c>
      <c r="F200" s="6" t="s">
        <v>88</v>
      </c>
      <c r="G200" s="7">
        <v>279044.80920000002</v>
      </c>
      <c r="H200" s="8" t="s">
        <v>7</v>
      </c>
      <c r="I200" s="8" t="s">
        <v>779</v>
      </c>
      <c r="J200" s="8" t="s">
        <v>789</v>
      </c>
      <c r="K200" s="8" t="s">
        <v>801</v>
      </c>
      <c r="L200" s="8" t="s">
        <v>791</v>
      </c>
      <c r="M200" s="10" t="s">
        <v>827</v>
      </c>
      <c r="N200" s="10" t="str">
        <f t="shared" si="3"/>
        <v>NiftyMetals &amp; MiningIndex</v>
      </c>
    </row>
    <row r="201" spans="1:14" x14ac:dyDescent="0.35">
      <c r="A201" s="5">
        <v>30</v>
      </c>
      <c r="B201" s="6" t="s">
        <v>92</v>
      </c>
      <c r="C201" s="6" t="s">
        <v>93</v>
      </c>
      <c r="D201" s="6" t="s">
        <v>94</v>
      </c>
      <c r="E201" s="7">
        <v>270427.03332444397</v>
      </c>
      <c r="F201" s="6" t="s">
        <v>94</v>
      </c>
      <c r="G201" s="7">
        <v>270419.85220000002</v>
      </c>
      <c r="H201" s="8" t="s">
        <v>7</v>
      </c>
      <c r="I201" s="8" t="s">
        <v>779</v>
      </c>
      <c r="J201" s="8" t="s">
        <v>789</v>
      </c>
      <c r="K201" s="8" t="s">
        <v>790</v>
      </c>
      <c r="L201" s="8" t="s">
        <v>791</v>
      </c>
      <c r="M201" s="10" t="s">
        <v>827</v>
      </c>
      <c r="N201" s="10" t="str">
        <f t="shared" si="3"/>
        <v>NiftyMetals &amp; MiningIndex</v>
      </c>
    </row>
    <row r="202" spans="1:14" x14ac:dyDescent="0.35">
      <c r="A202" s="5">
        <v>40</v>
      </c>
      <c r="B202" s="6" t="s">
        <v>122</v>
      </c>
      <c r="C202" s="6" t="s">
        <v>123</v>
      </c>
      <c r="D202" s="6" t="s">
        <v>124</v>
      </c>
      <c r="E202" s="7">
        <v>209335.939974359</v>
      </c>
      <c r="F202" s="6" t="s">
        <v>124</v>
      </c>
      <c r="G202" s="7">
        <v>209360.73879999999</v>
      </c>
      <c r="H202" s="8" t="s">
        <v>7</v>
      </c>
      <c r="I202" s="8" t="s">
        <v>779</v>
      </c>
      <c r="J202" s="8" t="s">
        <v>789</v>
      </c>
      <c r="K202" s="8" t="s">
        <v>790</v>
      </c>
      <c r="L202" s="8" t="s">
        <v>791</v>
      </c>
      <c r="M202" s="10" t="s">
        <v>827</v>
      </c>
      <c r="N202" s="10" t="str">
        <f t="shared" si="3"/>
        <v>NiftyMetals &amp; MiningIndex</v>
      </c>
    </row>
    <row r="203" spans="1:14" x14ac:dyDescent="0.35">
      <c r="A203" s="5">
        <v>41</v>
      </c>
      <c r="B203" s="6" t="s">
        <v>125</v>
      </c>
      <c r="C203" s="6" t="s">
        <v>126</v>
      </c>
      <c r="D203" s="6" t="s">
        <v>127</v>
      </c>
      <c r="E203" s="7">
        <v>200291.01924027799</v>
      </c>
      <c r="F203" s="6" t="s">
        <v>127</v>
      </c>
      <c r="G203" s="7">
        <v>200313.1519</v>
      </c>
      <c r="H203" s="8" t="s">
        <v>7</v>
      </c>
      <c r="I203" s="8" t="s">
        <v>779</v>
      </c>
      <c r="J203" s="8" t="s">
        <v>789</v>
      </c>
      <c r="K203" s="8" t="s">
        <v>803</v>
      </c>
      <c r="L203" s="8" t="s">
        <v>793</v>
      </c>
      <c r="M203" s="10" t="s">
        <v>827</v>
      </c>
      <c r="N203" s="10" t="str">
        <f t="shared" si="3"/>
        <v>NiftyMetals &amp; MiningIndex</v>
      </c>
    </row>
    <row r="204" spans="1:14" x14ac:dyDescent="0.35">
      <c r="A204" s="5">
        <v>46</v>
      </c>
      <c r="B204" s="6" t="s">
        <v>140</v>
      </c>
      <c r="C204" s="6" t="s">
        <v>141</v>
      </c>
      <c r="D204" s="6" t="s">
        <v>142</v>
      </c>
      <c r="E204" s="7">
        <v>188331.116486807</v>
      </c>
      <c r="F204" s="6" t="s">
        <v>142</v>
      </c>
      <c r="G204" s="7">
        <v>188351.59950000001</v>
      </c>
      <c r="H204" s="8" t="s">
        <v>7</v>
      </c>
      <c r="I204" s="8" t="s">
        <v>779</v>
      </c>
      <c r="J204" s="8" t="s">
        <v>789</v>
      </c>
      <c r="K204" s="8" t="s">
        <v>790</v>
      </c>
      <c r="L204" s="8" t="s">
        <v>791</v>
      </c>
      <c r="M204" s="10" t="s">
        <v>829</v>
      </c>
      <c r="N204" s="10" t="str">
        <f t="shared" si="3"/>
        <v>NiftyMetals &amp; MiningIndex</v>
      </c>
    </row>
    <row r="205" spans="1:14" x14ac:dyDescent="0.35">
      <c r="A205" s="5">
        <v>50</v>
      </c>
      <c r="B205" s="6" t="s">
        <v>152</v>
      </c>
      <c r="C205" s="6" t="s">
        <v>153</v>
      </c>
      <c r="D205" s="6" t="s">
        <v>154</v>
      </c>
      <c r="E205" s="7">
        <v>170768.88369850602</v>
      </c>
      <c r="F205" s="6" t="s">
        <v>154</v>
      </c>
      <c r="G205" s="7">
        <v>170787.3431</v>
      </c>
      <c r="H205" s="8" t="s">
        <v>7</v>
      </c>
      <c r="I205" s="8" t="s">
        <v>779</v>
      </c>
      <c r="J205" s="8" t="s">
        <v>789</v>
      </c>
      <c r="K205" s="8" t="s">
        <v>790</v>
      </c>
      <c r="L205" s="8" t="s">
        <v>791</v>
      </c>
      <c r="M205" s="10" t="s">
        <v>829</v>
      </c>
      <c r="N205" s="10" t="str">
        <f t="shared" si="3"/>
        <v>NiftyMetals &amp; MiningIndex</v>
      </c>
    </row>
    <row r="206" spans="1:14" x14ac:dyDescent="0.35">
      <c r="A206" s="5">
        <v>102</v>
      </c>
      <c r="B206" s="6" t="s">
        <v>309</v>
      </c>
      <c r="C206" s="6" t="s">
        <v>310</v>
      </c>
      <c r="D206" s="6" t="s">
        <v>311</v>
      </c>
      <c r="E206" s="7">
        <v>103391.87914484899</v>
      </c>
      <c r="F206" s="6" t="s">
        <v>311</v>
      </c>
      <c r="G206" s="7">
        <v>103413.6572</v>
      </c>
      <c r="H206" s="8" t="s">
        <v>308</v>
      </c>
      <c r="I206" s="8" t="s">
        <v>779</v>
      </c>
      <c r="J206" s="8" t="s">
        <v>789</v>
      </c>
      <c r="K206" s="8" t="s">
        <v>792</v>
      </c>
      <c r="L206" s="8" t="s">
        <v>793</v>
      </c>
      <c r="M206" s="10" t="s">
        <v>830</v>
      </c>
      <c r="N206" s="10" t="str">
        <f t="shared" si="3"/>
        <v>NiftyMetals &amp; MiningIndex</v>
      </c>
    </row>
    <row r="207" spans="1:14" x14ac:dyDescent="0.35">
      <c r="A207" s="5">
        <v>147</v>
      </c>
      <c r="B207" s="6" t="s">
        <v>446</v>
      </c>
      <c r="C207" s="6" t="s">
        <v>447</v>
      </c>
      <c r="D207" s="6" t="s">
        <v>448</v>
      </c>
      <c r="E207" s="7">
        <v>70818.956563836997</v>
      </c>
      <c r="F207" s="6" t="s">
        <v>448</v>
      </c>
      <c r="G207" s="7">
        <v>70799.222899999993</v>
      </c>
      <c r="H207" s="8" t="s">
        <v>308</v>
      </c>
      <c r="I207" s="8" t="s">
        <v>779</v>
      </c>
      <c r="J207" s="8" t="s">
        <v>789</v>
      </c>
      <c r="K207" s="8" t="s">
        <v>790</v>
      </c>
      <c r="L207" s="8" t="s">
        <v>791</v>
      </c>
      <c r="M207" s="10" t="s">
        <v>830</v>
      </c>
      <c r="N207" s="10" t="str">
        <f t="shared" si="3"/>
        <v>NiftyMetals &amp; MiningIndex</v>
      </c>
    </row>
    <row r="208" spans="1:14" x14ac:dyDescent="0.35">
      <c r="A208" s="5">
        <v>160</v>
      </c>
      <c r="B208" s="6" t="s">
        <v>485</v>
      </c>
      <c r="C208" s="6" t="s">
        <v>486</v>
      </c>
      <c r="D208" s="6" t="s">
        <v>487</v>
      </c>
      <c r="E208" s="7">
        <v>65186.373013837001</v>
      </c>
      <c r="F208" s="6" t="s">
        <v>487</v>
      </c>
      <c r="G208" s="7">
        <v>65185.605499999998</v>
      </c>
      <c r="H208" s="8" t="s">
        <v>308</v>
      </c>
      <c r="I208" s="8" t="s">
        <v>779</v>
      </c>
      <c r="J208" s="8" t="s">
        <v>794</v>
      </c>
      <c r="K208" s="8" t="s">
        <v>804</v>
      </c>
      <c r="L208" s="8" t="s">
        <v>796</v>
      </c>
      <c r="M208" s="10" t="s">
        <v>830</v>
      </c>
      <c r="N208" s="10" t="str">
        <f t="shared" si="3"/>
        <v>NiftyMetals &amp; MiningIndex</v>
      </c>
    </row>
    <row r="209" spans="1:14" x14ac:dyDescent="0.35">
      <c r="A209" s="5">
        <v>171</v>
      </c>
      <c r="B209" s="6" t="s">
        <v>518</v>
      </c>
      <c r="C209" s="6" t="s">
        <v>519</v>
      </c>
      <c r="D209" s="6" t="s">
        <v>520</v>
      </c>
      <c r="E209" s="7">
        <v>61867.588734394994</v>
      </c>
      <c r="F209" s="6" t="s">
        <v>520</v>
      </c>
      <c r="G209" s="7">
        <v>61849.282399999996</v>
      </c>
      <c r="H209" s="8" t="s">
        <v>308</v>
      </c>
      <c r="I209" s="8" t="s">
        <v>779</v>
      </c>
      <c r="J209" s="8" t="s">
        <v>789</v>
      </c>
      <c r="K209" s="8" t="s">
        <v>792</v>
      </c>
      <c r="L209" s="8" t="s">
        <v>793</v>
      </c>
      <c r="M209" s="10" t="s">
        <v>830</v>
      </c>
      <c r="N209" s="10" t="str">
        <f t="shared" si="3"/>
        <v>NiftyMetals &amp; MiningIndex</v>
      </c>
    </row>
    <row r="210" spans="1:14" x14ac:dyDescent="0.35">
      <c r="A210" s="5">
        <v>189</v>
      </c>
      <c r="B210" s="6" t="s">
        <v>572</v>
      </c>
      <c r="C210" s="6" t="s">
        <v>573</v>
      </c>
      <c r="D210" s="6" t="s">
        <v>574</v>
      </c>
      <c r="E210" s="7">
        <v>54436.253515178003</v>
      </c>
      <c r="F210" s="6" t="s">
        <v>574</v>
      </c>
      <c r="G210" s="7">
        <v>54443.863799999999</v>
      </c>
      <c r="H210" s="8" t="s">
        <v>308</v>
      </c>
      <c r="I210" s="8" t="s">
        <v>779</v>
      </c>
      <c r="J210" s="8" t="s">
        <v>794</v>
      </c>
      <c r="K210" s="8" t="s">
        <v>792</v>
      </c>
      <c r="L210" s="8" t="s">
        <v>793</v>
      </c>
      <c r="M210" s="10" t="s">
        <v>830</v>
      </c>
      <c r="N210" s="10" t="str">
        <f t="shared" si="3"/>
        <v>NiftyMetals &amp; MiningIndex</v>
      </c>
    </row>
    <row r="211" spans="1:14" x14ac:dyDescent="0.35">
      <c r="A211" s="5">
        <v>224</v>
      </c>
      <c r="B211" s="6" t="s">
        <v>678</v>
      </c>
      <c r="C211" s="6" t="s">
        <v>679</v>
      </c>
      <c r="D211" s="6" t="s">
        <v>680</v>
      </c>
      <c r="E211" s="7">
        <v>41313.793050931003</v>
      </c>
      <c r="F211" s="6" t="s">
        <v>680</v>
      </c>
      <c r="G211" s="7">
        <v>41318.821900000003</v>
      </c>
      <c r="H211" s="8" t="s">
        <v>308</v>
      </c>
      <c r="I211" s="8" t="s">
        <v>779</v>
      </c>
      <c r="J211" s="8" t="s">
        <v>794</v>
      </c>
      <c r="K211" s="8" t="s">
        <v>819</v>
      </c>
      <c r="L211" s="8" t="s">
        <v>799</v>
      </c>
      <c r="M211" s="10" t="s">
        <v>830</v>
      </c>
      <c r="N211" s="10" t="str">
        <f t="shared" si="3"/>
        <v>NiftyMetals &amp; MiningIndex</v>
      </c>
    </row>
    <row r="212" spans="1:14" x14ac:dyDescent="0.35">
      <c r="A212" s="5">
        <v>1</v>
      </c>
      <c r="B212" s="6" t="s">
        <v>3</v>
      </c>
      <c r="C212" s="6" t="s">
        <v>4</v>
      </c>
      <c r="D212" s="6" t="s">
        <v>5</v>
      </c>
      <c r="E212" s="7">
        <v>1970806.4850785302</v>
      </c>
      <c r="F212" s="6" t="s">
        <v>5</v>
      </c>
      <c r="G212" s="7">
        <v>1970787.69</v>
      </c>
      <c r="H212" s="8" t="s">
        <v>7</v>
      </c>
      <c r="I212" s="8" t="s">
        <v>766</v>
      </c>
      <c r="J212" s="8" t="s">
        <v>789</v>
      </c>
      <c r="K212" s="8" t="s">
        <v>790</v>
      </c>
      <c r="L212" s="8" t="s">
        <v>791</v>
      </c>
      <c r="M212" s="10" t="s">
        <v>827</v>
      </c>
      <c r="N212" s="10" t="str">
        <f t="shared" si="3"/>
        <v>NiftyOil, Gas &amp; Consumable FuelsIndex</v>
      </c>
    </row>
    <row r="213" spans="1:14" x14ac:dyDescent="0.35">
      <c r="A213" s="5">
        <v>25</v>
      </c>
      <c r="B213" s="6" t="s">
        <v>77</v>
      </c>
      <c r="C213" s="6" t="s">
        <v>78</v>
      </c>
      <c r="D213" s="6" t="s">
        <v>79</v>
      </c>
      <c r="E213" s="7">
        <v>303870.15439435496</v>
      </c>
      <c r="F213" s="6" t="s">
        <v>79</v>
      </c>
      <c r="G213" s="7">
        <v>303876.34470000002</v>
      </c>
      <c r="H213" s="8" t="s">
        <v>7</v>
      </c>
      <c r="I213" s="8" t="s">
        <v>766</v>
      </c>
      <c r="J213" s="8" t="s">
        <v>794</v>
      </c>
      <c r="K213" s="8" t="s">
        <v>792</v>
      </c>
      <c r="L213" s="8" t="s">
        <v>793</v>
      </c>
      <c r="M213" s="10" t="s">
        <v>827</v>
      </c>
      <c r="N213" s="10" t="str">
        <f t="shared" si="3"/>
        <v>NiftyOil, Gas &amp; Consumable FuelsIndex</v>
      </c>
    </row>
    <row r="214" spans="1:14" x14ac:dyDescent="0.35">
      <c r="A214" s="5">
        <v>36</v>
      </c>
      <c r="B214" s="6" t="s">
        <v>110</v>
      </c>
      <c r="C214" s="6" t="s">
        <v>111</v>
      </c>
      <c r="D214" s="6" t="s">
        <v>112</v>
      </c>
      <c r="E214" s="7">
        <v>237343.05290443302</v>
      </c>
      <c r="F214" s="6" t="s">
        <v>112</v>
      </c>
      <c r="G214" s="7">
        <v>237339.14009999999</v>
      </c>
      <c r="H214" s="8" t="s">
        <v>7</v>
      </c>
      <c r="I214" s="8" t="s">
        <v>766</v>
      </c>
      <c r="J214" s="8" t="s">
        <v>794</v>
      </c>
      <c r="K214" s="8" t="s">
        <v>798</v>
      </c>
      <c r="L214" s="8" t="s">
        <v>799</v>
      </c>
      <c r="M214" s="10" t="s">
        <v>827</v>
      </c>
      <c r="N214" s="10" t="str">
        <f t="shared" si="3"/>
        <v>NiftyOil, Gas &amp; Consumable FuelsIndex</v>
      </c>
    </row>
    <row r="215" spans="1:14" x14ac:dyDescent="0.35">
      <c r="A215" s="5">
        <v>39</v>
      </c>
      <c r="B215" s="6" t="s">
        <v>119</v>
      </c>
      <c r="C215" s="6" t="s">
        <v>120</v>
      </c>
      <c r="D215" s="6" t="s">
        <v>121</v>
      </c>
      <c r="E215" s="7">
        <v>216854.59040166799</v>
      </c>
      <c r="F215" s="6" t="s">
        <v>121</v>
      </c>
      <c r="G215" s="7">
        <v>216884.514</v>
      </c>
      <c r="H215" s="8" t="s">
        <v>7</v>
      </c>
      <c r="I215" s="8" t="s">
        <v>766</v>
      </c>
      <c r="J215" s="8" t="s">
        <v>794</v>
      </c>
      <c r="K215" s="8" t="s">
        <v>792</v>
      </c>
      <c r="L215" s="8" t="s">
        <v>793</v>
      </c>
      <c r="M215" s="10" t="s">
        <v>827</v>
      </c>
      <c r="N215" s="10" t="str">
        <f t="shared" si="3"/>
        <v>NiftyOil, Gas &amp; Consumable FuelsIndex</v>
      </c>
    </row>
    <row r="216" spans="1:14" x14ac:dyDescent="0.35">
      <c r="A216" s="5">
        <v>59</v>
      </c>
      <c r="B216" s="6" t="s">
        <v>179</v>
      </c>
      <c r="C216" s="6" t="s">
        <v>180</v>
      </c>
      <c r="D216" s="6" t="s">
        <v>181</v>
      </c>
      <c r="E216" s="7">
        <v>148424.54008870301</v>
      </c>
      <c r="F216" s="6" t="s">
        <v>181</v>
      </c>
      <c r="G216" s="7">
        <v>148449.3683</v>
      </c>
      <c r="H216" s="8" t="s">
        <v>7</v>
      </c>
      <c r="I216" s="8" t="s">
        <v>766</v>
      </c>
      <c r="J216" s="8" t="s">
        <v>794</v>
      </c>
      <c r="K216" s="8" t="s">
        <v>790</v>
      </c>
      <c r="L216" s="8" t="s">
        <v>791</v>
      </c>
      <c r="M216" s="10" t="s">
        <v>829</v>
      </c>
      <c r="N216" s="10" t="str">
        <f t="shared" si="3"/>
        <v>NiftyOil, Gas &amp; Consumable FuelsIndex</v>
      </c>
    </row>
    <row r="217" spans="1:14" x14ac:dyDescent="0.35">
      <c r="A217" s="5">
        <v>119</v>
      </c>
      <c r="B217" s="6" t="s">
        <v>361</v>
      </c>
      <c r="C217" s="6" t="s">
        <v>362</v>
      </c>
      <c r="D217" s="6" t="s">
        <v>363</v>
      </c>
      <c r="E217" s="7">
        <v>93187.564945007995</v>
      </c>
      <c r="F217" s="6" t="s">
        <v>363</v>
      </c>
      <c r="G217" s="7">
        <v>93198.710699999996</v>
      </c>
      <c r="H217" s="8" t="s">
        <v>308</v>
      </c>
      <c r="I217" s="8" t="s">
        <v>766</v>
      </c>
      <c r="J217" s="8" t="s">
        <v>794</v>
      </c>
      <c r="K217" s="8" t="s">
        <v>790</v>
      </c>
      <c r="L217" s="8" t="s">
        <v>791</v>
      </c>
      <c r="M217" s="10" t="s">
        <v>830</v>
      </c>
      <c r="N217" s="10" t="str">
        <f t="shared" si="3"/>
        <v>NiftyOil, Gas &amp; Consumable FuelsIndex</v>
      </c>
    </row>
    <row r="218" spans="1:14" x14ac:dyDescent="0.35">
      <c r="A218" s="5">
        <v>151</v>
      </c>
      <c r="B218" s="6" t="s">
        <v>458</v>
      </c>
      <c r="C218" s="6" t="s">
        <v>459</v>
      </c>
      <c r="D218" s="6" t="s">
        <v>460</v>
      </c>
      <c r="E218" s="7">
        <v>68181.460189324003</v>
      </c>
      <c r="F218" s="6" t="s">
        <v>460</v>
      </c>
      <c r="G218" s="7">
        <v>68182.363899999997</v>
      </c>
      <c r="H218" s="8" t="s">
        <v>308</v>
      </c>
      <c r="I218" s="8" t="s">
        <v>766</v>
      </c>
      <c r="J218" s="8" t="s">
        <v>794</v>
      </c>
      <c r="K218" s="8" t="s">
        <v>800</v>
      </c>
      <c r="L218" s="8" t="s">
        <v>793</v>
      </c>
      <c r="M218" s="10" t="s">
        <v>830</v>
      </c>
      <c r="N218" s="10" t="str">
        <f t="shared" si="3"/>
        <v>NiftyOil, Gas &amp; Consumable FuelsIndex</v>
      </c>
    </row>
    <row r="219" spans="1:14" x14ac:dyDescent="0.35">
      <c r="A219" s="5">
        <v>251</v>
      </c>
      <c r="B219" s="6" t="s">
        <v>764</v>
      </c>
      <c r="C219" s="6" t="s">
        <v>765</v>
      </c>
      <c r="D219" s="6" t="s">
        <v>765</v>
      </c>
      <c r="E219" s="7">
        <v>9550036.9990143869</v>
      </c>
      <c r="F219" s="6" t="s">
        <v>765</v>
      </c>
      <c r="G219" s="7">
        <v>8957532.9254000094</v>
      </c>
      <c r="H219" s="6" t="s">
        <v>759</v>
      </c>
      <c r="I219" s="6" t="s">
        <v>764</v>
      </c>
      <c r="J219" s="6" t="s">
        <v>764</v>
      </c>
      <c r="K219" s="6" t="s">
        <v>764</v>
      </c>
      <c r="L219" s="6" t="s">
        <v>764</v>
      </c>
      <c r="M219" s="12" t="s">
        <v>831</v>
      </c>
      <c r="N219" s="10" t="str">
        <f t="shared" si="3"/>
        <v>NiftyOthersIndex</v>
      </c>
    </row>
    <row r="220" spans="1:14" x14ac:dyDescent="0.35">
      <c r="A220" s="5">
        <v>22</v>
      </c>
      <c r="B220" s="6" t="s">
        <v>68</v>
      </c>
      <c r="C220" s="6" t="s">
        <v>69</v>
      </c>
      <c r="D220" s="6" t="s">
        <v>70</v>
      </c>
      <c r="E220" s="7">
        <v>323250.294015388</v>
      </c>
      <c r="F220" s="6" t="s">
        <v>70</v>
      </c>
      <c r="G220" s="7">
        <v>323233.74810000003</v>
      </c>
      <c r="H220" s="8" t="s">
        <v>7</v>
      </c>
      <c r="I220" s="8" t="s">
        <v>776</v>
      </c>
      <c r="J220" s="8" t="s">
        <v>794</v>
      </c>
      <c r="K220" s="8" t="s">
        <v>792</v>
      </c>
      <c r="L220" s="8" t="s">
        <v>793</v>
      </c>
      <c r="M220" s="10" t="s">
        <v>827</v>
      </c>
      <c r="N220" s="10" t="str">
        <f t="shared" si="3"/>
        <v>NiftyPowerIndex</v>
      </c>
    </row>
    <row r="221" spans="1:14" x14ac:dyDescent="0.35">
      <c r="A221" s="5">
        <v>31</v>
      </c>
      <c r="B221" s="6" t="s">
        <v>95</v>
      </c>
      <c r="C221" s="6" t="s">
        <v>96</v>
      </c>
      <c r="D221" s="6" t="s">
        <v>97</v>
      </c>
      <c r="E221" s="7">
        <v>264347.70762517402</v>
      </c>
      <c r="F221" s="6" t="s">
        <v>97</v>
      </c>
      <c r="G221" s="7">
        <v>264360.10489999998</v>
      </c>
      <c r="H221" s="8" t="s">
        <v>7</v>
      </c>
      <c r="I221" s="8" t="s">
        <v>776</v>
      </c>
      <c r="J221" s="8" t="s">
        <v>789</v>
      </c>
      <c r="K221" s="8" t="s">
        <v>801</v>
      </c>
      <c r="L221" s="8" t="s">
        <v>791</v>
      </c>
      <c r="M221" s="10" t="s">
        <v>827</v>
      </c>
      <c r="N221" s="10" t="str">
        <f t="shared" si="3"/>
        <v>NiftyPowerIndex</v>
      </c>
    </row>
    <row r="222" spans="1:14" x14ac:dyDescent="0.35">
      <c r="A222" s="5">
        <v>33</v>
      </c>
      <c r="B222" s="6" t="s">
        <v>101</v>
      </c>
      <c r="C222" s="6" t="s">
        <v>102</v>
      </c>
      <c r="D222" s="6" t="s">
        <v>103</v>
      </c>
      <c r="E222" s="7">
        <v>262670.08892862702</v>
      </c>
      <c r="F222" s="6" t="s">
        <v>103</v>
      </c>
      <c r="G222" s="7">
        <v>262651.63530000002</v>
      </c>
      <c r="H222" s="8" t="s">
        <v>7</v>
      </c>
      <c r="I222" s="8" t="s">
        <v>776</v>
      </c>
      <c r="J222" s="8" t="s">
        <v>794</v>
      </c>
      <c r="K222" s="8" t="s">
        <v>802</v>
      </c>
      <c r="L222" s="8" t="s">
        <v>793</v>
      </c>
      <c r="M222" s="10" t="s">
        <v>827</v>
      </c>
      <c r="N222" s="10" t="str">
        <f t="shared" si="3"/>
        <v>NiftyPowerIndex</v>
      </c>
    </row>
    <row r="223" spans="1:14" x14ac:dyDescent="0.35">
      <c r="A223" s="5">
        <v>55</v>
      </c>
      <c r="B223" s="6" t="s">
        <v>167</v>
      </c>
      <c r="C223" s="6" t="s">
        <v>168</v>
      </c>
      <c r="D223" s="6" t="s">
        <v>169</v>
      </c>
      <c r="E223" s="7">
        <v>163194.77724366201</v>
      </c>
      <c r="F223" s="6" t="s">
        <v>169</v>
      </c>
      <c r="G223" s="7">
        <v>162844.91519999999</v>
      </c>
      <c r="H223" s="8" t="s">
        <v>7</v>
      </c>
      <c r="I223" s="8" t="s">
        <v>776</v>
      </c>
      <c r="J223" s="8" t="s">
        <v>789</v>
      </c>
      <c r="K223" s="8" t="s">
        <v>801</v>
      </c>
      <c r="L223" s="8" t="s">
        <v>791</v>
      </c>
      <c r="M223" s="10" t="s">
        <v>829</v>
      </c>
      <c r="N223" s="10" t="str">
        <f t="shared" si="3"/>
        <v>NiftyPowerIndex</v>
      </c>
    </row>
    <row r="224" spans="1:14" x14ac:dyDescent="0.35">
      <c r="A224" s="5">
        <v>75</v>
      </c>
      <c r="B224" s="6" t="s">
        <v>227</v>
      </c>
      <c r="C224" s="6" t="s">
        <v>228</v>
      </c>
      <c r="D224" s="6" t="s">
        <v>229</v>
      </c>
      <c r="E224" s="7">
        <v>124846.988068825</v>
      </c>
      <c r="F224" s="6" t="s">
        <v>229</v>
      </c>
      <c r="G224" s="7">
        <v>124860.55560000001</v>
      </c>
      <c r="H224" s="8" t="s">
        <v>7</v>
      </c>
      <c r="I224" s="8" t="s">
        <v>776</v>
      </c>
      <c r="J224" s="8" t="s">
        <v>789</v>
      </c>
      <c r="K224" s="8" t="s">
        <v>790</v>
      </c>
      <c r="L224" s="8" t="s">
        <v>791</v>
      </c>
      <c r="M224" s="10" t="s">
        <v>829</v>
      </c>
      <c r="N224" s="10" t="str">
        <f t="shared" si="3"/>
        <v>NiftyPowerIndex</v>
      </c>
    </row>
    <row r="225" spans="1:14" x14ac:dyDescent="0.35">
      <c r="A225" s="5">
        <v>96</v>
      </c>
      <c r="B225" s="6" t="s">
        <v>290</v>
      </c>
      <c r="C225" s="6" t="s">
        <v>291</v>
      </c>
      <c r="D225" s="6" t="s">
        <v>292</v>
      </c>
      <c r="E225" s="7">
        <v>108350.35527443599</v>
      </c>
      <c r="F225" s="6" t="s">
        <v>292</v>
      </c>
      <c r="G225" s="7">
        <v>108357.1721</v>
      </c>
      <c r="H225" s="8" t="s">
        <v>7</v>
      </c>
      <c r="I225" s="8" t="s">
        <v>776</v>
      </c>
      <c r="J225" s="8" t="s">
        <v>789</v>
      </c>
      <c r="K225" s="8" t="s">
        <v>801</v>
      </c>
      <c r="L225" s="8" t="s">
        <v>791</v>
      </c>
      <c r="M225" s="10" t="s">
        <v>830</v>
      </c>
      <c r="N225" s="10" t="str">
        <f t="shared" si="3"/>
        <v>NiftyPowerIndex</v>
      </c>
    </row>
    <row r="226" spans="1:14" x14ac:dyDescent="0.35">
      <c r="A226" s="5">
        <v>124</v>
      </c>
      <c r="B226" s="6" t="s">
        <v>376</v>
      </c>
      <c r="C226" s="6" t="s">
        <v>377</v>
      </c>
      <c r="D226" s="6" t="s">
        <v>378</v>
      </c>
      <c r="E226" s="7">
        <v>90092.400669013005</v>
      </c>
      <c r="F226" s="6" t="s">
        <v>378</v>
      </c>
      <c r="G226" s="7">
        <v>90095.9378</v>
      </c>
      <c r="H226" s="8" t="s">
        <v>308</v>
      </c>
      <c r="I226" s="8" t="s">
        <v>776</v>
      </c>
      <c r="J226" s="8" t="s">
        <v>789</v>
      </c>
      <c r="K226" s="8" t="s">
        <v>790</v>
      </c>
      <c r="L226" s="8" t="s">
        <v>791</v>
      </c>
      <c r="M226" s="10" t="s">
        <v>830</v>
      </c>
      <c r="N226" s="10" t="str">
        <f t="shared" si="3"/>
        <v>NiftyPowerIndex</v>
      </c>
    </row>
    <row r="227" spans="1:14" x14ac:dyDescent="0.35">
      <c r="A227" s="5">
        <v>133</v>
      </c>
      <c r="B227" s="6" t="s">
        <v>403</v>
      </c>
      <c r="C227" s="6" t="s">
        <v>404</v>
      </c>
      <c r="D227" s="6" t="s">
        <v>405</v>
      </c>
      <c r="E227" s="7">
        <v>84832.943325877</v>
      </c>
      <c r="F227" s="6" t="s">
        <v>405</v>
      </c>
      <c r="G227" s="7">
        <v>84831.070800000001</v>
      </c>
      <c r="H227" s="8" t="s">
        <v>308</v>
      </c>
      <c r="I227" s="8" t="s">
        <v>776</v>
      </c>
      <c r="J227" s="8" t="s">
        <v>794</v>
      </c>
      <c r="K227" s="8" t="s">
        <v>792</v>
      </c>
      <c r="L227" s="8" t="s">
        <v>793</v>
      </c>
      <c r="M227" s="10" t="s">
        <v>830</v>
      </c>
      <c r="N227" s="10" t="str">
        <f t="shared" si="3"/>
        <v>NiftyPowerIndex</v>
      </c>
    </row>
    <row r="228" spans="1:14" x14ac:dyDescent="0.35">
      <c r="A228" s="5">
        <v>134</v>
      </c>
      <c r="B228" s="6" t="s">
        <v>406</v>
      </c>
      <c r="C228" s="6" t="s">
        <v>407</v>
      </c>
      <c r="D228" s="6" t="s">
        <v>408</v>
      </c>
      <c r="E228" s="7">
        <v>83001.883426219996</v>
      </c>
      <c r="F228" s="6" t="s">
        <v>408</v>
      </c>
      <c r="G228" s="7">
        <v>83007.065400000007</v>
      </c>
      <c r="H228" s="8" t="s">
        <v>308</v>
      </c>
      <c r="I228" s="8" t="s">
        <v>776</v>
      </c>
      <c r="J228" s="8" t="s">
        <v>794</v>
      </c>
      <c r="K228" s="8" t="s">
        <v>810</v>
      </c>
      <c r="L228" s="8" t="s">
        <v>793</v>
      </c>
      <c r="M228" s="10" t="s">
        <v>830</v>
      </c>
      <c r="N228" s="10" t="str">
        <f t="shared" si="3"/>
        <v>NiftyPowerIndex</v>
      </c>
    </row>
    <row r="229" spans="1:14" x14ac:dyDescent="0.35">
      <c r="A229" s="5">
        <v>158</v>
      </c>
      <c r="B229" s="6" t="s">
        <v>479</v>
      </c>
      <c r="C229" s="6" t="s">
        <v>480</v>
      </c>
      <c r="D229" s="6" t="s">
        <v>481</v>
      </c>
      <c r="E229" s="7">
        <v>65811.802333033993</v>
      </c>
      <c r="F229" s="6" t="s">
        <v>481</v>
      </c>
      <c r="G229" s="7">
        <v>65821.400500000003</v>
      </c>
      <c r="H229" s="8" t="s">
        <v>308</v>
      </c>
      <c r="I229" s="8" t="s">
        <v>776</v>
      </c>
      <c r="J229" s="8" t="s">
        <v>789</v>
      </c>
      <c r="K229" s="8" t="s">
        <v>801</v>
      </c>
      <c r="L229" s="8" t="s">
        <v>791</v>
      </c>
      <c r="M229" s="10" t="s">
        <v>830</v>
      </c>
      <c r="N229" s="10" t="str">
        <f t="shared" si="3"/>
        <v>NiftyPowerIndex</v>
      </c>
    </row>
    <row r="230" spans="1:14" x14ac:dyDescent="0.35">
      <c r="A230" s="5">
        <v>249</v>
      </c>
      <c r="B230" s="6" t="s">
        <v>753</v>
      </c>
      <c r="C230" s="6" t="s">
        <v>754</v>
      </c>
      <c r="D230" s="6" t="s">
        <v>755</v>
      </c>
      <c r="E230" s="7">
        <v>34832.207366371003</v>
      </c>
      <c r="F230" s="6" t="s">
        <v>755</v>
      </c>
      <c r="G230" s="7">
        <v>34833.080699999999</v>
      </c>
      <c r="H230" s="8" t="s">
        <v>308</v>
      </c>
      <c r="I230" s="8" t="s">
        <v>776</v>
      </c>
      <c r="J230" s="8" t="s">
        <v>794</v>
      </c>
      <c r="K230" s="8" t="s">
        <v>823</v>
      </c>
      <c r="L230" s="8" t="s">
        <v>793</v>
      </c>
      <c r="M230" s="10" t="s">
        <v>830</v>
      </c>
      <c r="N230" s="10" t="str">
        <f t="shared" si="3"/>
        <v>NiftyPowerIndex</v>
      </c>
    </row>
    <row r="231" spans="1:14" x14ac:dyDescent="0.35">
      <c r="A231" s="5">
        <v>47</v>
      </c>
      <c r="B231" s="6" t="s">
        <v>143</v>
      </c>
      <c r="C231" s="6" t="s">
        <v>144</v>
      </c>
      <c r="D231" s="6" t="s">
        <v>145</v>
      </c>
      <c r="E231" s="7">
        <v>187698.270013195</v>
      </c>
      <c r="F231" s="6" t="s">
        <v>145</v>
      </c>
      <c r="G231" s="7">
        <v>187715.12280000001</v>
      </c>
      <c r="H231" s="8" t="s">
        <v>7</v>
      </c>
      <c r="I231" s="8" t="s">
        <v>782</v>
      </c>
      <c r="J231" s="8" t="s">
        <v>789</v>
      </c>
      <c r="K231" s="8" t="s">
        <v>792</v>
      </c>
      <c r="L231" s="8" t="s">
        <v>793</v>
      </c>
      <c r="M231" s="10" t="s">
        <v>829</v>
      </c>
      <c r="N231" s="10" t="str">
        <f t="shared" si="3"/>
        <v>NiftyRealtyIndex</v>
      </c>
    </row>
    <row r="232" spans="1:14" x14ac:dyDescent="0.35">
      <c r="A232" s="5">
        <v>79</v>
      </c>
      <c r="B232" s="6" t="s">
        <v>239</v>
      </c>
      <c r="C232" s="6" t="s">
        <v>240</v>
      </c>
      <c r="D232" s="6" t="s">
        <v>241</v>
      </c>
      <c r="E232" s="7">
        <v>120421.65405104199</v>
      </c>
      <c r="F232" s="6" t="s">
        <v>241</v>
      </c>
      <c r="G232" s="7">
        <v>120401.05409999999</v>
      </c>
      <c r="H232" s="8" t="s">
        <v>7</v>
      </c>
      <c r="I232" s="8" t="s">
        <v>782</v>
      </c>
      <c r="J232" s="8" t="s">
        <v>789</v>
      </c>
      <c r="K232" s="8" t="s">
        <v>790</v>
      </c>
      <c r="L232" s="8" t="s">
        <v>791</v>
      </c>
      <c r="M232" s="10" t="s">
        <v>829</v>
      </c>
      <c r="N232" s="10" t="str">
        <f t="shared" si="3"/>
        <v>NiftyRealtyIndex</v>
      </c>
    </row>
    <row r="233" spans="1:14" x14ac:dyDescent="0.35">
      <c r="A233" s="5">
        <v>146</v>
      </c>
      <c r="B233" s="6" t="s">
        <v>443</v>
      </c>
      <c r="C233" s="6" t="s">
        <v>444</v>
      </c>
      <c r="D233" s="6" t="s">
        <v>445</v>
      </c>
      <c r="E233" s="7">
        <v>70851.824317381994</v>
      </c>
      <c r="F233" s="6" t="s">
        <v>445</v>
      </c>
      <c r="G233" s="7">
        <v>70859.122799999997</v>
      </c>
      <c r="H233" s="8" t="s">
        <v>308</v>
      </c>
      <c r="I233" s="8" t="s">
        <v>782</v>
      </c>
      <c r="J233" s="8" t="s">
        <v>789</v>
      </c>
      <c r="K233" s="8" t="s">
        <v>795</v>
      </c>
      <c r="L233" s="8" t="s">
        <v>796</v>
      </c>
      <c r="M233" s="10" t="s">
        <v>830</v>
      </c>
      <c r="N233" s="10" t="str">
        <f t="shared" si="3"/>
        <v>NiftyRealtyIndex</v>
      </c>
    </row>
    <row r="234" spans="1:14" x14ac:dyDescent="0.35">
      <c r="A234" s="5">
        <v>165</v>
      </c>
      <c r="B234" s="6" t="s">
        <v>500</v>
      </c>
      <c r="C234" s="6" t="s">
        <v>501</v>
      </c>
      <c r="D234" s="6" t="s">
        <v>502</v>
      </c>
      <c r="E234" s="7">
        <v>63667.840607639002</v>
      </c>
      <c r="F234" s="6" t="s">
        <v>502</v>
      </c>
      <c r="G234" s="7">
        <v>63668.980499999998</v>
      </c>
      <c r="H234" s="8" t="s">
        <v>308</v>
      </c>
      <c r="I234" s="8" t="s">
        <v>782</v>
      </c>
      <c r="J234" s="8" t="s">
        <v>789</v>
      </c>
      <c r="K234" s="8" t="s">
        <v>790</v>
      </c>
      <c r="L234" s="8" t="s">
        <v>791</v>
      </c>
      <c r="M234" s="10" t="s">
        <v>830</v>
      </c>
      <c r="N234" s="10" t="str">
        <f t="shared" si="3"/>
        <v>NiftyRealtyIndex</v>
      </c>
    </row>
    <row r="235" spans="1:14" x14ac:dyDescent="0.35">
      <c r="A235" s="5">
        <v>174</v>
      </c>
      <c r="B235" s="6" t="s">
        <v>527</v>
      </c>
      <c r="C235" s="6" t="s">
        <v>528</v>
      </c>
      <c r="D235" s="6" t="s">
        <v>529</v>
      </c>
      <c r="E235" s="7">
        <v>61134.680549141005</v>
      </c>
      <c r="F235" s="6" t="s">
        <v>529</v>
      </c>
      <c r="G235" s="7">
        <v>61138.388700000003</v>
      </c>
      <c r="H235" s="8" t="s">
        <v>308</v>
      </c>
      <c r="I235" s="8" t="s">
        <v>782</v>
      </c>
      <c r="J235" s="8" t="s">
        <v>789</v>
      </c>
      <c r="K235" s="8" t="s">
        <v>790</v>
      </c>
      <c r="L235" s="8" t="s">
        <v>791</v>
      </c>
      <c r="M235" s="10" t="s">
        <v>830</v>
      </c>
      <c r="N235" s="10" t="str">
        <f t="shared" si="3"/>
        <v>NiftyRealtyIndex</v>
      </c>
    </row>
    <row r="236" spans="1:14" x14ac:dyDescent="0.35">
      <c r="A236" s="5">
        <v>179</v>
      </c>
      <c r="B236" s="6" t="s">
        <v>542</v>
      </c>
      <c r="C236" s="6" t="s">
        <v>543</v>
      </c>
      <c r="D236" s="6" t="s">
        <v>544</v>
      </c>
      <c r="E236" s="7">
        <v>57964.351507432999</v>
      </c>
      <c r="F236" s="6" t="s">
        <v>544</v>
      </c>
      <c r="G236" s="7">
        <v>57972.697200000002</v>
      </c>
      <c r="H236" s="8" t="s">
        <v>308</v>
      </c>
      <c r="I236" s="8" t="s">
        <v>782</v>
      </c>
      <c r="J236" s="8" t="s">
        <v>789</v>
      </c>
      <c r="K236" s="8" t="s">
        <v>790</v>
      </c>
      <c r="L236" s="8" t="s">
        <v>791</v>
      </c>
      <c r="M236" s="10" t="s">
        <v>830</v>
      </c>
      <c r="N236" s="10" t="str">
        <f t="shared" si="3"/>
        <v>NiftyRealtyIndex</v>
      </c>
    </row>
    <row r="237" spans="1:14" x14ac:dyDescent="0.35">
      <c r="A237" s="5">
        <v>24</v>
      </c>
      <c r="B237" s="6" t="s">
        <v>74</v>
      </c>
      <c r="C237" s="6" t="s">
        <v>75</v>
      </c>
      <c r="D237" s="6" t="s">
        <v>76</v>
      </c>
      <c r="E237" s="7">
        <v>308622.99418292299</v>
      </c>
      <c r="F237" s="6" t="s">
        <v>76</v>
      </c>
      <c r="G237" s="7">
        <v>308664.31109999999</v>
      </c>
      <c r="H237" s="8" t="s">
        <v>7</v>
      </c>
      <c r="I237" s="8" t="s">
        <v>778</v>
      </c>
      <c r="J237" s="8" t="s">
        <v>789</v>
      </c>
      <c r="K237" s="8" t="s">
        <v>801</v>
      </c>
      <c r="L237" s="8" t="s">
        <v>791</v>
      </c>
      <c r="M237" s="10" t="s">
        <v>827</v>
      </c>
      <c r="N237" s="10" t="str">
        <f t="shared" si="3"/>
        <v>NiftyServicesIndex</v>
      </c>
    </row>
    <row r="238" spans="1:14" x14ac:dyDescent="0.35">
      <c r="A238" s="5">
        <v>38</v>
      </c>
      <c r="B238" s="6" t="s">
        <v>116</v>
      </c>
      <c r="C238" s="6" t="s">
        <v>117</v>
      </c>
      <c r="D238" s="6" t="s">
        <v>118</v>
      </c>
      <c r="E238" s="7">
        <v>219754.62298829199</v>
      </c>
      <c r="F238" s="6" t="s">
        <v>118</v>
      </c>
      <c r="G238" s="7">
        <v>219787.1508</v>
      </c>
      <c r="H238" s="8" t="s">
        <v>7</v>
      </c>
      <c r="I238" s="8" t="s">
        <v>778</v>
      </c>
      <c r="J238" s="8" t="s">
        <v>789</v>
      </c>
      <c r="K238" s="8" t="s">
        <v>802</v>
      </c>
      <c r="L238" s="8" t="s">
        <v>793</v>
      </c>
      <c r="M238" s="10" t="s">
        <v>827</v>
      </c>
      <c r="N238" s="10" t="str">
        <f t="shared" si="3"/>
        <v>NiftyServicesIndex</v>
      </c>
    </row>
    <row r="239" spans="1:14" x14ac:dyDescent="0.35">
      <c r="A239" s="5">
        <v>110</v>
      </c>
      <c r="B239" s="6" t="s">
        <v>334</v>
      </c>
      <c r="C239" s="6" t="s">
        <v>335</v>
      </c>
      <c r="D239" s="6" t="s">
        <v>336</v>
      </c>
      <c r="E239" s="7">
        <v>98984.114445266998</v>
      </c>
      <c r="F239" s="6" t="s">
        <v>336</v>
      </c>
      <c r="G239" s="7">
        <v>98997.438899999994</v>
      </c>
      <c r="H239" s="8" t="s">
        <v>308</v>
      </c>
      <c r="I239" s="8" t="s">
        <v>778</v>
      </c>
      <c r="J239" s="8" t="s">
        <v>789</v>
      </c>
      <c r="K239" s="8" t="s">
        <v>792</v>
      </c>
      <c r="L239" s="8" t="s">
        <v>793</v>
      </c>
      <c r="M239" s="10" t="s">
        <v>830</v>
      </c>
      <c r="N239" s="10" t="str">
        <f t="shared" si="3"/>
        <v>NiftyServicesIndex</v>
      </c>
    </row>
    <row r="240" spans="1:14" x14ac:dyDescent="0.35">
      <c r="A240" s="5">
        <v>168</v>
      </c>
      <c r="B240" s="6" t="s">
        <v>509</v>
      </c>
      <c r="C240" s="6" t="s">
        <v>510</v>
      </c>
      <c r="D240" s="6" t="s">
        <v>511</v>
      </c>
      <c r="E240" s="7">
        <v>62718.713466738001</v>
      </c>
      <c r="F240" s="6" t="s">
        <v>511</v>
      </c>
      <c r="G240" s="7">
        <v>62722.963499999998</v>
      </c>
      <c r="H240" s="8" t="s">
        <v>308</v>
      </c>
      <c r="I240" s="8" t="s">
        <v>778</v>
      </c>
      <c r="J240" s="8" t="s">
        <v>789</v>
      </c>
      <c r="K240" s="8" t="s">
        <v>790</v>
      </c>
      <c r="L240" s="8" t="s">
        <v>791</v>
      </c>
      <c r="M240" s="10" t="s">
        <v>830</v>
      </c>
      <c r="N240" s="10" t="str">
        <f t="shared" si="3"/>
        <v>NiftyServicesIndex</v>
      </c>
    </row>
    <row r="241" spans="1:14" x14ac:dyDescent="0.35">
      <c r="A241" s="5">
        <v>222</v>
      </c>
      <c r="B241" s="6" t="s">
        <v>672</v>
      </c>
      <c r="C241" s="6" t="s">
        <v>673</v>
      </c>
      <c r="D241" s="6" t="s">
        <v>674</v>
      </c>
      <c r="E241" s="7">
        <v>41501.969666871002</v>
      </c>
      <c r="F241" s="6" t="s">
        <v>674</v>
      </c>
      <c r="G241" s="7">
        <v>41502.7978</v>
      </c>
      <c r="H241" s="8" t="s">
        <v>308</v>
      </c>
      <c r="I241" s="8" t="s">
        <v>778</v>
      </c>
      <c r="J241" s="8" t="s">
        <v>794</v>
      </c>
      <c r="K241" s="8" t="s">
        <v>792</v>
      </c>
      <c r="L241" s="8" t="s">
        <v>793</v>
      </c>
      <c r="M241" s="10" t="s">
        <v>830</v>
      </c>
      <c r="N241" s="10" t="str">
        <f t="shared" si="3"/>
        <v>NiftyServicesIndex</v>
      </c>
    </row>
    <row r="242" spans="1:14" x14ac:dyDescent="0.35">
      <c r="A242" s="5">
        <v>3</v>
      </c>
      <c r="B242" s="6" t="s">
        <v>11</v>
      </c>
      <c r="C242" s="6" t="s">
        <v>12</v>
      </c>
      <c r="D242" s="6" t="s">
        <v>13</v>
      </c>
      <c r="E242" s="7">
        <v>1195614.675864836</v>
      </c>
      <c r="F242" s="6" t="s">
        <v>13</v>
      </c>
      <c r="G242" s="7">
        <v>1195675.6905</v>
      </c>
      <c r="H242" s="8" t="s">
        <v>7</v>
      </c>
      <c r="I242" s="8" t="s">
        <v>768</v>
      </c>
      <c r="J242" s="8" t="s">
        <v>789</v>
      </c>
      <c r="K242" s="8" t="s">
        <v>792</v>
      </c>
      <c r="L242" s="8" t="s">
        <v>793</v>
      </c>
      <c r="M242" s="10" t="s">
        <v>827</v>
      </c>
      <c r="N242" s="10" t="str">
        <f t="shared" si="3"/>
        <v>NiftyTelecommunicationIndex</v>
      </c>
    </row>
    <row r="243" spans="1:14" x14ac:dyDescent="0.35">
      <c r="A243" s="5">
        <v>108</v>
      </c>
      <c r="B243" s="6" t="s">
        <v>328</v>
      </c>
      <c r="C243" s="6" t="s">
        <v>329</v>
      </c>
      <c r="D243" s="6" t="s">
        <v>330</v>
      </c>
      <c r="E243" s="7">
        <v>99636.183791007992</v>
      </c>
      <c r="F243" s="6" t="s">
        <v>330</v>
      </c>
      <c r="G243" s="7">
        <v>99639.115099999995</v>
      </c>
      <c r="H243" s="8" t="s">
        <v>308</v>
      </c>
      <c r="I243" s="8" t="s">
        <v>768</v>
      </c>
      <c r="J243" s="8" t="s">
        <v>789</v>
      </c>
      <c r="K243" s="8" t="s">
        <v>802</v>
      </c>
      <c r="L243" s="8" t="s">
        <v>793</v>
      </c>
      <c r="M243" s="10" t="s">
        <v>830</v>
      </c>
      <c r="N243" s="10" t="str">
        <f t="shared" si="3"/>
        <v>NiftyTelecommunicationIndex</v>
      </c>
    </row>
    <row r="244" spans="1:14" x14ac:dyDescent="0.35">
      <c r="A244" s="5">
        <v>116</v>
      </c>
      <c r="B244" s="6" t="s">
        <v>352</v>
      </c>
      <c r="C244" s="6" t="s">
        <v>353</v>
      </c>
      <c r="D244" s="6" t="s">
        <v>354</v>
      </c>
      <c r="E244" s="7">
        <v>94047.773438368007</v>
      </c>
      <c r="F244" s="6" t="s">
        <v>354</v>
      </c>
      <c r="G244" s="7">
        <v>93992.742100000003</v>
      </c>
      <c r="H244" s="8" t="s">
        <v>308</v>
      </c>
      <c r="I244" s="8" t="s">
        <v>768</v>
      </c>
      <c r="J244" s="8" t="s">
        <v>789</v>
      </c>
      <c r="K244" s="8" t="s">
        <v>790</v>
      </c>
      <c r="L244" s="8" t="s">
        <v>791</v>
      </c>
      <c r="M244" s="10" t="s">
        <v>830</v>
      </c>
      <c r="N244" s="10" t="str">
        <f t="shared" si="3"/>
        <v>NiftyTelecommunicationIndex</v>
      </c>
    </row>
    <row r="245" spans="1:14" x14ac:dyDescent="0.35">
      <c r="A245" s="5">
        <v>127</v>
      </c>
      <c r="B245" s="6" t="s">
        <v>385</v>
      </c>
      <c r="C245" s="6" t="s">
        <v>386</v>
      </c>
      <c r="D245" s="6" t="s">
        <v>387</v>
      </c>
      <c r="E245" s="7">
        <v>88892.400793651002</v>
      </c>
      <c r="F245" s="6" t="s">
        <v>387</v>
      </c>
      <c r="G245" s="7">
        <v>88887.896800000002</v>
      </c>
      <c r="H245" s="8" t="s">
        <v>308</v>
      </c>
      <c r="I245" s="8" t="s">
        <v>768</v>
      </c>
      <c r="J245" s="8" t="s">
        <v>789</v>
      </c>
      <c r="K245" s="8" t="s">
        <v>792</v>
      </c>
      <c r="L245" s="8" t="s">
        <v>793</v>
      </c>
      <c r="M245" s="10" t="s">
        <v>830</v>
      </c>
      <c r="N245" s="10" t="str">
        <f t="shared" si="3"/>
        <v>NiftyTelecommunicationIndex</v>
      </c>
    </row>
    <row r="246" spans="1:14" x14ac:dyDescent="0.35">
      <c r="A246" s="5">
        <v>198</v>
      </c>
      <c r="B246" s="6" t="s">
        <v>599</v>
      </c>
      <c r="C246" s="6" t="s">
        <v>600</v>
      </c>
      <c r="D246" s="6" t="s">
        <v>601</v>
      </c>
      <c r="E246" s="7">
        <v>49907.594047619001</v>
      </c>
      <c r="F246" s="6" t="s">
        <v>601</v>
      </c>
      <c r="G246" s="7">
        <v>49916.6417</v>
      </c>
      <c r="H246" s="8" t="s">
        <v>308</v>
      </c>
      <c r="I246" s="8" t="s">
        <v>768</v>
      </c>
      <c r="J246" s="8" t="s">
        <v>789</v>
      </c>
      <c r="K246" s="8" t="s">
        <v>790</v>
      </c>
      <c r="L246" s="8" t="s">
        <v>791</v>
      </c>
      <c r="M246" s="10" t="s">
        <v>830</v>
      </c>
      <c r="N246" s="10" t="str">
        <f t="shared" si="3"/>
        <v>NiftyTelecommunicationIndex</v>
      </c>
    </row>
    <row r="247" spans="1:14" x14ac:dyDescent="0.35">
      <c r="A247" s="5">
        <v>44</v>
      </c>
      <c r="B247" s="6" t="s">
        <v>134</v>
      </c>
      <c r="C247" s="6" t="s">
        <v>135</v>
      </c>
      <c r="D247" s="6" t="s">
        <v>136</v>
      </c>
      <c r="E247" s="7">
        <v>190057.040223563</v>
      </c>
      <c r="F247" s="6" t="s">
        <v>136</v>
      </c>
      <c r="G247" s="7">
        <v>190074.68410000001</v>
      </c>
      <c r="H247" s="8" t="s">
        <v>7</v>
      </c>
      <c r="I247" s="8" t="s">
        <v>781</v>
      </c>
      <c r="J247" s="8" t="s">
        <v>789</v>
      </c>
      <c r="K247" s="8" t="s">
        <v>790</v>
      </c>
      <c r="L247" s="8" t="s">
        <v>791</v>
      </c>
      <c r="M247" s="10" t="s">
        <v>829</v>
      </c>
      <c r="N247" s="10" t="str">
        <f t="shared" si="3"/>
        <v>NiftyTextilesIndex</v>
      </c>
    </row>
    <row r="248" spans="1:14" x14ac:dyDescent="0.35">
      <c r="A248" s="5">
        <v>205</v>
      </c>
      <c r="B248" s="6" t="s">
        <v>620</v>
      </c>
      <c r="C248" s="6" t="s">
        <v>621</v>
      </c>
      <c r="D248" s="6" t="s">
        <v>622</v>
      </c>
      <c r="E248" s="7">
        <v>47336.257386521997</v>
      </c>
      <c r="F248" s="6" t="s">
        <v>622</v>
      </c>
      <c r="G248" s="7">
        <v>47338.678899999999</v>
      </c>
      <c r="H248" s="8" t="s">
        <v>308</v>
      </c>
      <c r="I248" s="8" t="s">
        <v>781</v>
      </c>
      <c r="J248" s="8" t="s">
        <v>789</v>
      </c>
      <c r="K248" s="8" t="s">
        <v>795</v>
      </c>
      <c r="L248" s="8" t="s">
        <v>796</v>
      </c>
      <c r="M248" s="10" t="s">
        <v>830</v>
      </c>
      <c r="N248" s="10" t="str">
        <f t="shared" si="3"/>
        <v>NiftyTextilesIndex</v>
      </c>
    </row>
    <row r="249" spans="1:14" x14ac:dyDescent="0.35">
      <c r="A249" s="5">
        <v>243</v>
      </c>
      <c r="B249" s="6" t="s">
        <v>735</v>
      </c>
      <c r="C249" s="6" t="s">
        <v>736</v>
      </c>
      <c r="D249" s="6" t="s">
        <v>737</v>
      </c>
      <c r="E249" s="7">
        <v>36165.535321666997</v>
      </c>
      <c r="F249" s="6" t="s">
        <v>737</v>
      </c>
      <c r="G249" s="7">
        <v>36176.603600000002</v>
      </c>
      <c r="H249" s="8" t="s">
        <v>308</v>
      </c>
      <c r="I249" s="8" t="s">
        <v>781</v>
      </c>
      <c r="J249" s="8" t="s">
        <v>789</v>
      </c>
      <c r="K249" s="8" t="s">
        <v>822</v>
      </c>
      <c r="L249" s="8" t="s">
        <v>796</v>
      </c>
      <c r="M249" s="10" t="s">
        <v>830</v>
      </c>
      <c r="N249" s="10" t="str">
        <f t="shared" si="3"/>
        <v>NiftyTextilesIndex</v>
      </c>
    </row>
    <row r="250" spans="1:14" x14ac:dyDescent="0.35">
      <c r="A250" s="5">
        <v>81</v>
      </c>
      <c r="B250" s="6" t="s">
        <v>245</v>
      </c>
      <c r="C250" s="6" t="s">
        <v>246</v>
      </c>
      <c r="D250" s="6" t="s">
        <v>247</v>
      </c>
      <c r="E250" s="7">
        <v>117132.530056868</v>
      </c>
      <c r="F250" s="6" t="s">
        <v>247</v>
      </c>
      <c r="G250" s="7">
        <v>117138.2702</v>
      </c>
      <c r="H250" s="8" t="s">
        <v>7</v>
      </c>
      <c r="I250" s="8" t="s">
        <v>784</v>
      </c>
      <c r="J250" s="8" t="s">
        <v>794</v>
      </c>
      <c r="K250" s="8" t="s">
        <v>792</v>
      </c>
      <c r="L250" s="8" t="s">
        <v>793</v>
      </c>
      <c r="M250" s="10" t="s">
        <v>829</v>
      </c>
      <c r="N250" s="10" t="str">
        <f t="shared" si="3"/>
        <v>NiftyUtilitiesIndex</v>
      </c>
    </row>
    <row r="251" spans="1:14" x14ac:dyDescent="0.35">
      <c r="A251" s="5">
        <v>152</v>
      </c>
      <c r="B251" s="6" t="s">
        <v>461</v>
      </c>
      <c r="C251" s="6" t="s">
        <v>462</v>
      </c>
      <c r="D251" s="6" t="s">
        <v>463</v>
      </c>
      <c r="E251" s="7">
        <v>67979.872235831994</v>
      </c>
      <c r="F251" s="6" t="s">
        <v>463</v>
      </c>
      <c r="G251" s="7">
        <v>67970.270699999994</v>
      </c>
      <c r="H251" s="8" t="s">
        <v>308</v>
      </c>
      <c r="I251" s="8" t="s">
        <v>784</v>
      </c>
      <c r="J251" s="8" t="s">
        <v>789</v>
      </c>
      <c r="K251" s="8" t="s">
        <v>801</v>
      </c>
      <c r="L251" s="8" t="s">
        <v>791</v>
      </c>
      <c r="M251" s="10" t="s">
        <v>830</v>
      </c>
      <c r="N251" s="10" t="str">
        <f t="shared" si="3"/>
        <v>NiftyUtilitiesIndex</v>
      </c>
    </row>
    <row r="252" spans="1:14" x14ac:dyDescent="0.35">
      <c r="A252" s="5">
        <v>219</v>
      </c>
      <c r="B252" s="6" t="s">
        <v>663</v>
      </c>
      <c r="C252" s="6" t="s">
        <v>664</v>
      </c>
      <c r="D252" s="6" t="s">
        <v>665</v>
      </c>
      <c r="E252" s="7">
        <v>42178.038188729995</v>
      </c>
      <c r="F252" s="6" t="s">
        <v>665</v>
      </c>
      <c r="G252" s="7">
        <v>42177.026299999998</v>
      </c>
      <c r="H252" s="8" t="s">
        <v>308</v>
      </c>
      <c r="I252" s="8" t="s">
        <v>784</v>
      </c>
      <c r="J252" s="8" t="s">
        <v>789</v>
      </c>
      <c r="K252" s="8" t="s">
        <v>792</v>
      </c>
      <c r="L252" s="8" t="s">
        <v>793</v>
      </c>
      <c r="M252" s="10" t="s">
        <v>830</v>
      </c>
      <c r="N252" s="10" t="str">
        <f t="shared" si="3"/>
        <v>NiftyUtilitiesIndex</v>
      </c>
    </row>
    <row r="255" spans="1:14" x14ac:dyDescent="0.35">
      <c r="E255" s="9"/>
    </row>
  </sheetData>
  <autoFilter ref="A1:L1" xr:uid="{00000000-0001-0000-0000-000000000000}"/>
  <sortState xmlns:xlrd2="http://schemas.microsoft.com/office/spreadsheetml/2017/richdata2" ref="A2:N252">
    <sortCondition ref="I2:I2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Kumar Verma</dc:creator>
  <cp:lastModifiedBy>Prasad Patankar</cp:lastModifiedBy>
  <dcterms:created xsi:type="dcterms:W3CDTF">2015-06-05T18:17:20Z</dcterms:created>
  <dcterms:modified xsi:type="dcterms:W3CDTF">2026-06-10T17:10:09Z</dcterms:modified>
</cp:coreProperties>
</file>